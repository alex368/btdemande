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deye\Desktop\COURS INSEEC MCS1&amp;2\MSC2\RISK MANAGEMENT\"/>
    </mc:Choice>
  </mc:AlternateContent>
  <xr:revisionPtr revIDLastSave="0" documentId="13_ncr:1_{599405D4-1AD2-42AB-B528-FAB62F2B5974}" xr6:coauthVersionLast="47" xr6:coauthVersionMax="47" xr10:uidLastSave="{00000000-0000-0000-0000-000000000000}"/>
  <bookViews>
    <workbookView xWindow="-110" yWindow="-110" windowWidth="19420" windowHeight="10300" xr2:uid="{EB9E7A54-B28B-41FA-81DC-8A4B6C894598}"/>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 l="1"/>
  <c r="E15" i="1"/>
  <c r="B19" i="1"/>
  <c r="B16" i="1"/>
  <c r="B7" i="1"/>
  <c r="B5" i="1"/>
  <c r="B4" i="1"/>
  <c r="B3" i="1"/>
  <c r="B1" i="1"/>
  <c r="B6" i="1" s="1"/>
  <c r="D4" i="1" l="1"/>
  <c r="B9" i="1"/>
  <c r="E9" i="1"/>
  <c r="D1" i="1"/>
  <c r="D3" i="1"/>
  <c r="D5" i="1"/>
</calcChain>
</file>

<file path=xl/sharedStrings.xml><?xml version="1.0" encoding="utf-8"?>
<sst xmlns="http://schemas.openxmlformats.org/spreadsheetml/2006/main" count="27" uniqueCount="27">
  <si>
    <t>PNI</t>
  </si>
  <si>
    <t>PNC</t>
  </si>
  <si>
    <t>plus ou moins value sur cession de titres</t>
  </si>
  <si>
    <t>autres Telephoniques, assurances</t>
  </si>
  <si>
    <t>charges globales d'exploitation</t>
  </si>
  <si>
    <t>Dotation aux amortissements et provisions</t>
  </si>
  <si>
    <t>RBE</t>
  </si>
  <si>
    <t>PNB</t>
  </si>
  <si>
    <t>Cout du risque</t>
  </si>
  <si>
    <t xml:space="preserve">REX </t>
  </si>
  <si>
    <t>RCAI</t>
  </si>
  <si>
    <t>RN</t>
  </si>
  <si>
    <t>IS</t>
  </si>
  <si>
    <t>moins values sur cession d'actifs</t>
  </si>
  <si>
    <t>Participation</t>
  </si>
  <si>
    <t>total bilan</t>
  </si>
  <si>
    <t>solvabilité</t>
  </si>
  <si>
    <t>rslt opération financier</t>
  </si>
  <si>
    <t xml:space="preserve">Analyse </t>
  </si>
  <si>
    <t>le coefficient d'exploitation ( (charges globales d'exploitation+dotation au amortissements et provisions)/PNB)</t>
  </si>
  <si>
    <t xml:space="preserve">la forte contribution du PNB repose sur le PNI et sur l'opération financiers , sur l'aspeect PNI nous constatons une forte hausse des taux en 2023, la SG achete l'argent trois fois plus chers avant mais elle le vend deux fois plus chers elle n'a donc pas repercuté a ses clients la hausse des taux. nous constatons une bonne reprise de la l'activité de finance des marches puisque le rstl des opérations financiers est passé de négatif à positif. nous constatons une baisse du RBE car le PNB a baisser et la société generale a investir dans une nouveau materiel par exemple.  le cout du risque est divisé par deux cela signifie que la sg prete à moins de clients douteux.  le coef d'exploitation est trop eleves le SG a tendance de fermer des agences non rentables. </t>
  </si>
  <si>
    <t>R.O.A ( RN/TOTAL ACTIF)*100</t>
  </si>
  <si>
    <t xml:space="preserve">Moyenne R.O.A 0,16 faible </t>
  </si>
  <si>
    <t>Elements</t>
  </si>
  <si>
    <t>calculs</t>
  </si>
  <si>
    <t xml:space="preserve">pourcentage </t>
  </si>
  <si>
    <t>R.O.E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</si>
</sst>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9" tint="0.59999389629810485"/>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3" fontId="0" fillId="0" borderId="0" xfId="0" applyNumberFormat="1"/>
    <xf numFmtId="2" fontId="0" fillId="0" borderId="0" xfId="0" applyNumberFormat="1"/>
    <xf numFmtId="9" fontId="0" fillId="0" borderId="0" xfId="1" applyFont="1"/>
    <xf numFmtId="0" fontId="0" fillId="0" borderId="0" xfId="0" applyAlignment="1">
      <alignment horizontal="center" vertical="center" wrapText="1"/>
    </xf>
    <xf numFmtId="0" fontId="0" fillId="4" borderId="0" xfId="0" applyFill="1" applyAlignment="1">
      <alignment horizontal="center" wrapText="1"/>
    </xf>
    <xf numFmtId="9" fontId="0" fillId="4" borderId="0" xfId="1" applyFont="1" applyFill="1" applyAlignment="1">
      <alignment horizontal="center" vertical="center"/>
    </xf>
    <xf numFmtId="0" fontId="0" fillId="0" borderId="2" xfId="0" applyBorder="1"/>
    <xf numFmtId="0" fontId="0" fillId="0" borderId="3" xfId="0" applyBorder="1"/>
    <xf numFmtId="0" fontId="2" fillId="0" borderId="3" xfId="0" applyFont="1" applyBorder="1"/>
    <xf numFmtId="0" fontId="0" fillId="0" borderId="1" xfId="0" applyBorder="1"/>
    <xf numFmtId="9" fontId="0" fillId="0" borderId="1" xfId="1" applyFont="1" applyBorder="1"/>
    <xf numFmtId="9" fontId="0" fillId="0" borderId="2" xfId="1" applyFont="1" applyBorder="1"/>
    <xf numFmtId="9" fontId="0" fillId="0" borderId="3" xfId="1" applyFont="1" applyBorder="1"/>
    <xf numFmtId="9" fontId="0" fillId="0" borderId="4" xfId="1" applyFont="1" applyBorder="1"/>
    <xf numFmtId="0" fontId="0" fillId="2" borderId="1" xfId="0" applyFill="1" applyBorder="1"/>
    <xf numFmtId="0" fontId="2" fillId="3" borderId="1" xfId="0" applyFont="1" applyFill="1" applyBorder="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47553-60D0-46B5-92A7-9CA7C65DAAA1}">
  <dimension ref="A1:F39"/>
  <sheetViews>
    <sheetView tabSelected="1" workbookViewId="0">
      <selection activeCell="C12" sqref="C12"/>
    </sheetView>
  </sheetViews>
  <sheetFormatPr baseColWidth="10" defaultRowHeight="14.5" x14ac:dyDescent="0.35"/>
  <cols>
    <col min="1" max="1" width="35.453125" bestFit="1" customWidth="1"/>
    <col min="3" max="3" width="19.08984375" bestFit="1" customWidth="1"/>
    <col min="4" max="4" width="27.81640625" customWidth="1"/>
    <col min="6" max="6" width="22.36328125" bestFit="1" customWidth="1"/>
  </cols>
  <sheetData>
    <row r="1" spans="1:6" ht="15" thickBot="1" x14ac:dyDescent="0.4">
      <c r="A1" t="s">
        <v>0</v>
      </c>
      <c r="B1">
        <f>26310-20621</f>
        <v>5689</v>
      </c>
      <c r="D1" s="3">
        <f>B1/B6</f>
        <v>0.43903380151257909</v>
      </c>
    </row>
    <row r="2" spans="1:6" ht="15" thickBot="1" x14ac:dyDescent="0.4">
      <c r="A2" s="10" t="s">
        <v>23</v>
      </c>
      <c r="B2" s="10" t="s">
        <v>24</v>
      </c>
      <c r="D2" s="11" t="s">
        <v>25</v>
      </c>
    </row>
    <row r="3" spans="1:6" x14ac:dyDescent="0.35">
      <c r="A3" s="7" t="s">
        <v>1</v>
      </c>
      <c r="B3" s="7">
        <f>4864-2216</f>
        <v>2648</v>
      </c>
      <c r="D3" s="12">
        <f>+B3/B6</f>
        <v>0.20435252353758296</v>
      </c>
    </row>
    <row r="4" spans="1:6" x14ac:dyDescent="0.35">
      <c r="A4" s="8" t="s">
        <v>2</v>
      </c>
      <c r="B4" s="8">
        <f>5911-61-19</f>
        <v>5831</v>
      </c>
      <c r="C4" t="s">
        <v>17</v>
      </c>
      <c r="D4" s="13">
        <f>+B4/B6</f>
        <v>0.44999228275968511</v>
      </c>
    </row>
    <row r="5" spans="1:6" ht="15" thickBot="1" x14ac:dyDescent="0.4">
      <c r="A5" s="8" t="s">
        <v>3</v>
      </c>
      <c r="B5" s="8">
        <f>1682-859-5-3679+3+3+7936-6291</f>
        <v>-1210</v>
      </c>
      <c r="D5" s="14">
        <f>+B5/B6</f>
        <v>-9.3378607809847206E-2</v>
      </c>
    </row>
    <row r="6" spans="1:6" ht="15" thickBot="1" x14ac:dyDescent="0.4">
      <c r="A6" s="15" t="s">
        <v>7</v>
      </c>
      <c r="B6" s="15">
        <f>B1+B3+B4+B5</f>
        <v>12958</v>
      </c>
    </row>
    <row r="7" spans="1:6" x14ac:dyDescent="0.35">
      <c r="A7" s="8" t="s">
        <v>4</v>
      </c>
      <c r="B7" s="8">
        <f>-8668</f>
        <v>-8668</v>
      </c>
    </row>
    <row r="8" spans="1:6" ht="15" thickBot="1" x14ac:dyDescent="0.4">
      <c r="A8" s="8" t="s">
        <v>5</v>
      </c>
      <c r="B8" s="8">
        <v>-830</v>
      </c>
    </row>
    <row r="9" spans="1:6" ht="14.5" customHeight="1" thickBot="1" x14ac:dyDescent="0.4">
      <c r="A9" s="16" t="s">
        <v>6</v>
      </c>
      <c r="B9" s="16">
        <f>B6-(B7)-(B8)</f>
        <v>22456</v>
      </c>
      <c r="D9" s="5" t="s">
        <v>19</v>
      </c>
      <c r="E9" s="6">
        <f>(8668+830)/B6</f>
        <v>0.7329834851057262</v>
      </c>
    </row>
    <row r="10" spans="1:6" ht="15" thickBot="1" x14ac:dyDescent="0.4">
      <c r="A10" s="8" t="s">
        <v>8</v>
      </c>
      <c r="B10" s="9">
        <v>-348</v>
      </c>
      <c r="D10" s="5"/>
      <c r="E10" s="6"/>
    </row>
    <row r="11" spans="1:6" ht="15" thickBot="1" x14ac:dyDescent="0.4">
      <c r="A11" s="16" t="s">
        <v>9</v>
      </c>
      <c r="B11" s="16">
        <v>3112</v>
      </c>
      <c r="D11" s="5"/>
      <c r="E11" s="6"/>
    </row>
    <row r="12" spans="1:6" x14ac:dyDescent="0.35">
      <c r="A12" s="8" t="s">
        <v>13</v>
      </c>
      <c r="B12" s="8">
        <v>-98</v>
      </c>
      <c r="D12" s="5"/>
      <c r="E12" s="6"/>
    </row>
    <row r="13" spans="1:6" x14ac:dyDescent="0.35">
      <c r="A13" s="8" t="s">
        <v>10</v>
      </c>
      <c r="B13" s="8">
        <v>3026</v>
      </c>
      <c r="D13" s="5"/>
      <c r="E13" s="6"/>
    </row>
    <row r="14" spans="1:6" x14ac:dyDescent="0.35">
      <c r="A14" s="8" t="s">
        <v>12</v>
      </c>
      <c r="B14" s="8">
        <v>-753</v>
      </c>
    </row>
    <row r="15" spans="1:6" ht="15" thickBot="1" x14ac:dyDescent="0.4">
      <c r="A15" s="8" t="s">
        <v>14</v>
      </c>
      <c r="B15" s="8">
        <v>505</v>
      </c>
      <c r="D15" t="s">
        <v>21</v>
      </c>
      <c r="E15" s="2">
        <f>1768/B18*100</f>
        <v>0.11201003528822945</v>
      </c>
      <c r="F15" t="s">
        <v>22</v>
      </c>
    </row>
    <row r="16" spans="1:6" ht="15" thickBot="1" x14ac:dyDescent="0.4">
      <c r="A16" s="16" t="s">
        <v>11</v>
      </c>
      <c r="B16" s="16">
        <f>+B13-B14-B15</f>
        <v>3274</v>
      </c>
      <c r="D16" t="s">
        <v>26</v>
      </c>
      <c r="E16" s="2">
        <f>1768/77984*100</f>
        <v>2.2671317193270415</v>
      </c>
    </row>
    <row r="18" spans="1:4" x14ac:dyDescent="0.35">
      <c r="A18" t="s">
        <v>15</v>
      </c>
      <c r="B18" s="1">
        <v>1578430</v>
      </c>
    </row>
    <row r="19" spans="1:4" x14ac:dyDescent="0.35">
      <c r="A19" t="s">
        <v>16</v>
      </c>
      <c r="B19" s="3">
        <f>(83269+490421)/B18</f>
        <v>0.36345609244629157</v>
      </c>
    </row>
    <row r="21" spans="1:4" x14ac:dyDescent="0.35">
      <c r="A21" t="s">
        <v>18</v>
      </c>
    </row>
    <row r="22" spans="1:4" ht="14.5" customHeight="1" x14ac:dyDescent="0.35">
      <c r="A22" s="4" t="s">
        <v>20</v>
      </c>
      <c r="B22" s="4"/>
      <c r="C22" s="4"/>
      <c r="D22" s="4"/>
    </row>
    <row r="23" spans="1:4" x14ac:dyDescent="0.35">
      <c r="A23" s="4"/>
      <c r="B23" s="4"/>
      <c r="C23" s="4"/>
      <c r="D23" s="4"/>
    </row>
    <row r="24" spans="1:4" x14ac:dyDescent="0.35">
      <c r="A24" s="4"/>
      <c r="B24" s="4"/>
      <c r="C24" s="4"/>
      <c r="D24" s="4"/>
    </row>
    <row r="25" spans="1:4" x14ac:dyDescent="0.35">
      <c r="A25" s="4"/>
      <c r="B25" s="4"/>
      <c r="C25" s="4"/>
      <c r="D25" s="4"/>
    </row>
    <row r="26" spans="1:4" x14ac:dyDescent="0.35">
      <c r="A26" s="4"/>
      <c r="B26" s="4"/>
      <c r="C26" s="4"/>
      <c r="D26" s="4"/>
    </row>
    <row r="27" spans="1:4" x14ac:dyDescent="0.35">
      <c r="A27" s="4"/>
      <c r="B27" s="4"/>
      <c r="C27" s="4"/>
      <c r="D27" s="4"/>
    </row>
    <row r="28" spans="1:4" x14ac:dyDescent="0.35">
      <c r="A28" s="4"/>
      <c r="B28" s="4"/>
      <c r="C28" s="4"/>
      <c r="D28" s="4"/>
    </row>
    <row r="29" spans="1:4" x14ac:dyDescent="0.35">
      <c r="A29" s="4"/>
      <c r="B29" s="4"/>
      <c r="C29" s="4"/>
      <c r="D29" s="4"/>
    </row>
    <row r="30" spans="1:4" x14ac:dyDescent="0.35">
      <c r="A30" s="4"/>
      <c r="B30" s="4"/>
      <c r="C30" s="4"/>
      <c r="D30" s="4"/>
    </row>
    <row r="31" spans="1:4" x14ac:dyDescent="0.35">
      <c r="A31" s="4"/>
      <c r="B31" s="4"/>
      <c r="C31" s="4"/>
      <c r="D31" s="4"/>
    </row>
    <row r="32" spans="1:4" x14ac:dyDescent="0.35">
      <c r="A32" s="4"/>
      <c r="B32" s="4"/>
      <c r="C32" s="4"/>
      <c r="D32" s="4"/>
    </row>
    <row r="33" spans="1:4" x14ac:dyDescent="0.35">
      <c r="A33" s="4"/>
      <c r="B33" s="4"/>
      <c r="C33" s="4"/>
      <c r="D33" s="4"/>
    </row>
    <row r="34" spans="1:4" x14ac:dyDescent="0.35">
      <c r="A34" s="4"/>
      <c r="B34" s="4"/>
      <c r="C34" s="4"/>
      <c r="D34" s="4"/>
    </row>
    <row r="35" spans="1:4" x14ac:dyDescent="0.35">
      <c r="A35" s="4"/>
      <c r="B35" s="4"/>
      <c r="C35" s="4"/>
      <c r="D35" s="4"/>
    </row>
    <row r="36" spans="1:4" x14ac:dyDescent="0.35">
      <c r="A36" s="4"/>
      <c r="B36" s="4"/>
      <c r="C36" s="4"/>
      <c r="D36" s="4"/>
    </row>
    <row r="37" spans="1:4" x14ac:dyDescent="0.35">
      <c r="A37" s="4"/>
      <c r="B37" s="4"/>
      <c r="C37" s="4"/>
      <c r="D37" s="4"/>
    </row>
    <row r="38" spans="1:4" x14ac:dyDescent="0.35">
      <c r="A38" s="4"/>
      <c r="B38" s="4"/>
      <c r="C38" s="4"/>
      <c r="D38" s="4"/>
    </row>
    <row r="39" spans="1:4" x14ac:dyDescent="0.35">
      <c r="A39" s="4"/>
      <c r="B39" s="4"/>
      <c r="C39" s="4"/>
      <c r="D39" s="4"/>
    </row>
  </sheetData>
  <mergeCells count="3">
    <mergeCell ref="A22:D39"/>
    <mergeCell ref="D9:D13"/>
    <mergeCell ref="E9:E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Khady DIBA</dc:creator>
  <cp:lastModifiedBy>Khady DIBA</cp:lastModifiedBy>
  <dcterms:created xsi:type="dcterms:W3CDTF">2025-12-15T10:12:17Z</dcterms:created>
  <dcterms:modified xsi:type="dcterms:W3CDTF">2025-12-15T11:46:41Z</dcterms:modified>
</cp:coreProperties>
</file>