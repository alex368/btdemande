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defaultThemeVersion="202300"/>
  <mc:AlternateContent xmlns:mc="http://schemas.openxmlformats.org/markup-compatibility/2006">
    <mc:Choice Requires="x15">
      <x15ac:absPath xmlns:x15ac="http://schemas.microsoft.com/office/spreadsheetml/2010/11/ac" url="/Users/alexganvo/Desktop/"/>
    </mc:Choice>
  </mc:AlternateContent>
  <xr:revisionPtr revIDLastSave="0" documentId="8_{03E94418-F95F-8F49-A015-1A55D9BBABF1}" xr6:coauthVersionLast="47" xr6:coauthVersionMax="47" xr10:uidLastSave="{00000000-0000-0000-0000-000000000000}"/>
  <bookViews>
    <workbookView xWindow="0" yWindow="660" windowWidth="29400" windowHeight="18460" activeTab="1" xr2:uid="{1253267C-EAC3-AC45-A7D6-989BD092D214}"/>
  </bookViews>
  <sheets>
    <sheet name="Enoncé" sheetId="1" r:id="rId1"/>
    <sheet name="Question 1" sheetId="2" r:id="rId2"/>
    <sheet name="Question 2"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 r="C38" i="2"/>
  <c r="H8" i="3"/>
  <c r="H6" i="3"/>
  <c r="H7" i="3"/>
  <c r="C23" i="3"/>
  <c r="E14" i="3"/>
  <c r="D14" i="3"/>
  <c r="C21" i="3"/>
  <c r="C22" i="3"/>
  <c r="C66" i="2"/>
  <c r="C71" i="2"/>
  <c r="C57" i="2"/>
  <c r="C56" i="2"/>
  <c r="E53" i="2"/>
  <c r="D51" i="2"/>
  <c r="D53" i="2" s="1"/>
  <c r="C7" i="2"/>
  <c r="C9" i="2"/>
  <c r="C19" i="3"/>
  <c r="F14" i="3"/>
  <c r="C14" i="3"/>
  <c r="D8" i="3"/>
  <c r="E8" i="3"/>
  <c r="F8" i="3"/>
  <c r="C8" i="3"/>
  <c r="C70" i="2"/>
  <c r="C14" i="2"/>
  <c r="C30" i="2"/>
  <c r="C32" i="2" s="1"/>
  <c r="C24" i="2"/>
  <c r="E24" i="2" s="1"/>
  <c r="C23" i="2"/>
  <c r="D23" i="2"/>
  <c r="D22" i="2"/>
  <c r="C22" i="2"/>
  <c r="D21" i="2"/>
  <c r="C21" i="2"/>
  <c r="E20" i="2"/>
  <c r="C53" i="2" l="1"/>
  <c r="C15" i="3"/>
  <c r="E23" i="2"/>
  <c r="E21" i="2"/>
  <c r="E22" i="2"/>
  <c r="C20" i="3" l="1"/>
  <c r="E25" i="2"/>
  <c r="C67" i="2" s="1"/>
  <c r="C15" i="2" l="1"/>
  <c r="H17" i="1"/>
  <c r="C12" i="2"/>
  <c r="B15" i="2"/>
  <c r="B13" i="2"/>
  <c r="C8" i="2"/>
  <c r="C6" i="2"/>
  <c r="H8" i="1"/>
  <c r="F67" i="1"/>
  <c r="F66" i="1"/>
  <c r="D66" i="1"/>
  <c r="D27" i="1"/>
  <c r="F27" i="1" s="1"/>
  <c r="C13" i="2" l="1"/>
  <c r="C37" i="2"/>
  <c r="C16" i="2"/>
  <c r="H27" i="1"/>
  <c r="C68" i="2" l="1"/>
  <c r="C72" i="2" s="1"/>
  <c r="C7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GANVO</author>
  </authors>
  <commentList>
    <comment ref="C7" authorId="0" shapeId="0" xr:uid="{77197B72-F493-6143-A47E-847AD955D652}">
      <text>
        <r>
          <rPr>
            <b/>
            <sz val="10"/>
            <color rgb="FF000000"/>
            <rFont val="Tahoma"/>
            <family val="2"/>
          </rPr>
          <t>Alex GANVO:</t>
        </r>
        <r>
          <rPr>
            <sz val="10"/>
            <color rgb="FF000000"/>
            <rFont val="Tahoma"/>
            <family val="2"/>
          </rPr>
          <t xml:space="preserve">
</t>
        </r>
        <r>
          <rPr>
            <sz val="10"/>
            <color rgb="FF000000"/>
            <rFont val="Tahoma"/>
            <family val="2"/>
          </rPr>
          <t xml:space="preserve">Frais d’établissement : VNC = 20 000 − 15 000 = 5 000 € 
</t>
        </r>
        <r>
          <rPr>
            <sz val="10"/>
            <color rgb="FF000000"/>
            <rFont val="Tahoma"/>
            <family val="2"/>
          </rPr>
          <t xml:space="preserve">Charges à répartir : VNC = 20 000 €
</t>
        </r>
        <r>
          <rPr>
            <sz val="10"/>
            <color rgb="FF000000"/>
            <rFont val="Tahoma"/>
            <family val="2"/>
          </rPr>
          <t xml:space="preserve">
</t>
        </r>
        <r>
          <rPr>
            <b/>
            <sz val="10"/>
            <color rgb="FF000000"/>
            <rFont val="Aptos Narrow"/>
            <scheme val="minor"/>
          </rPr>
          <t>Montant de l’actif fictif</t>
        </r>
        <r>
          <rPr>
            <b/>
            <sz val="10"/>
            <color rgb="FF000000"/>
            <rFont val="Tahoma"/>
            <family val="2"/>
          </rPr>
          <t xml:space="preserve">
</t>
        </r>
        <r>
          <rPr>
            <b/>
            <sz val="10"/>
            <color rgb="FF000000"/>
            <rFont val="Aptos Narrow"/>
            <scheme val="minor"/>
          </rPr>
          <t>En valeur nette (VNC)</t>
        </r>
        <r>
          <rPr>
            <sz val="10"/>
            <color rgb="FF000000"/>
            <rFont val="Aptos Narrow"/>
            <scheme val="minor"/>
          </rPr>
          <t xml:space="preserve"> : </t>
        </r>
        <r>
          <rPr>
            <b/>
            <sz val="10"/>
            <color rgb="FF000000"/>
            <rFont val="Aptos Narrow"/>
            <scheme val="minor"/>
          </rPr>
          <t>5 000 + 20 000 = 25 000 €</t>
        </r>
        <r>
          <rPr>
            <sz val="10"/>
            <color rgb="FF000000"/>
            <rFont val="Tahoma"/>
            <family val="2"/>
          </rPr>
          <t xml:space="preserve">
</t>
        </r>
        <r>
          <rPr>
            <sz val="10"/>
            <color rgb="FF000000"/>
            <rFont val="Tahoma"/>
            <family val="2"/>
          </rPr>
          <t>Donc, l’actif fictif = 25 000 € (en VNC).</t>
        </r>
      </text>
    </comment>
    <comment ref="C23" authorId="0" shapeId="0" xr:uid="{A163BB24-E285-0743-A37B-40E87BE03C49}">
      <text>
        <r>
          <rPr>
            <b/>
            <sz val="10"/>
            <color rgb="FF000000"/>
            <rFont val="Tahoma"/>
            <family val="2"/>
          </rPr>
          <t>Alex GANVO:</t>
        </r>
        <r>
          <rPr>
            <sz val="10"/>
            <color rgb="FF000000"/>
            <rFont val="Tahoma"/>
            <family val="2"/>
          </rPr>
          <t xml:space="preserve">
</t>
        </r>
        <r>
          <rPr>
            <sz val="10"/>
            <color rgb="FF000000"/>
            <rFont val="Tahoma"/>
            <family val="2"/>
          </rPr>
          <t>Valeur vénale le prix ou l'on peut l'acheter</t>
        </r>
      </text>
    </comment>
    <comment ref="C37" authorId="0" shapeId="0" xr:uid="{7583EA25-C05F-A140-B09E-B99435BEF205}">
      <text>
        <r>
          <rPr>
            <b/>
            <sz val="10"/>
            <color rgb="FF000000"/>
            <rFont val="Tahoma"/>
            <family val="2"/>
          </rPr>
          <t>Alex GANVO:</t>
        </r>
        <r>
          <rPr>
            <sz val="10"/>
            <color rgb="FF000000"/>
            <rFont val="Tahoma"/>
            <family val="2"/>
          </rPr>
          <t xml:space="preserve">
</t>
        </r>
        <r>
          <rPr>
            <sz val="10"/>
            <color rgb="FF000000"/>
            <rFont val="Aptos Narrow"/>
            <scheme val="minor"/>
          </rPr>
          <t>Les actifs fictifs n’ayant pas de valeur économique, ils sont éliminés de l’actif. Toutefois, leur déductibilité fiscale future justifie la constatation d’une créance fiscale latente égale au montant de l’actif fictif multiplié par le taux d’IS</t>
        </r>
      </text>
    </comment>
    <comment ref="C44" authorId="0" shapeId="0" xr:uid="{78BD002C-EA73-6349-B1CB-92976A1A4B22}">
      <text>
        <r>
          <rPr>
            <b/>
            <sz val="10"/>
            <color rgb="FF000000"/>
            <rFont val="Tahoma"/>
            <family val="2"/>
          </rPr>
          <t>Alex GANVO:</t>
        </r>
        <r>
          <rPr>
            <sz val="10"/>
            <color rgb="FF000000"/>
            <rFont val="Tahoma"/>
            <family val="2"/>
          </rPr>
          <t xml:space="preserve">
</t>
        </r>
        <r>
          <rPr>
            <sz val="10"/>
            <color rgb="FF000000"/>
            <rFont val="Tahoma"/>
            <family val="2"/>
          </rPr>
          <t>La valeur d'utilité du crédit bail au 31/12/N est donnée dans l'énoncé. Pas besoin de l'acualisé</t>
        </r>
      </text>
    </comment>
    <comment ref="C70" authorId="0" shapeId="0" xr:uid="{10DA2602-5F55-054B-8394-B2F2FB95FEF8}">
      <text>
        <r>
          <rPr>
            <b/>
            <sz val="10"/>
            <color rgb="FF000000"/>
            <rFont val="Tahoma"/>
            <family val="2"/>
          </rPr>
          <t>Alex GANVO:</t>
        </r>
        <r>
          <rPr>
            <sz val="10"/>
            <color rgb="FF000000"/>
            <rFont val="Tahoma"/>
            <family val="2"/>
          </rPr>
          <t xml:space="preserve">
</t>
        </r>
        <r>
          <rPr>
            <sz val="10"/>
            <color rgb="FF000000"/>
            <rFont val="Tahoma"/>
            <family val="2"/>
          </rPr>
          <t xml:space="preserve">Retraitement suite à la condanation. J'ai donc ajouter 15Keuros en plus des 15Keuros existant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GANVO</author>
  </authors>
  <commentList>
    <comment ref="D14" authorId="0" shapeId="0" xr:uid="{3493E785-B5A1-4E4B-86B2-C375D72C507E}">
      <text>
        <r>
          <rPr>
            <b/>
            <sz val="10"/>
            <color rgb="FF000000"/>
            <rFont val="Tahoma"/>
            <family val="2"/>
          </rPr>
          <t>Alex GANVO:</t>
        </r>
        <r>
          <rPr>
            <sz val="10"/>
            <color rgb="FF000000"/>
            <rFont val="Tahoma"/>
            <family val="2"/>
          </rPr>
          <t xml:space="preserve">
</t>
        </r>
        <r>
          <rPr>
            <sz val="10"/>
            <color rgb="FF000000"/>
            <rFont val="Tahoma"/>
            <family val="2"/>
          </rPr>
          <t>Application de la décote afin qu'elle soit comparable au reste des entreprises</t>
        </r>
      </text>
    </comment>
    <comment ref="C15" authorId="0" shapeId="0" xr:uid="{85984495-8823-884C-989F-84AE0BD50352}">
      <text>
        <r>
          <rPr>
            <b/>
            <sz val="10"/>
            <color rgb="FF000000"/>
            <rFont val="Tahoma"/>
            <family val="2"/>
          </rPr>
          <t>Alex GANVO:</t>
        </r>
        <r>
          <rPr>
            <sz val="10"/>
            <color rgb="FF000000"/>
            <rFont val="Tahoma"/>
            <family val="2"/>
          </rPr>
          <t xml:space="preserve">
</t>
        </r>
        <r>
          <rPr>
            <sz val="10"/>
            <color rgb="FF000000"/>
            <rFont val="Tahoma"/>
            <family val="2"/>
          </rPr>
          <t>Moyenne pondéré des multiples de références</t>
        </r>
      </text>
    </comment>
    <comment ref="C22" authorId="0" shapeId="0" xr:uid="{7A3C3D6E-AF71-B144-ABB0-D44C677FCB89}">
      <text>
        <r>
          <rPr>
            <b/>
            <sz val="10"/>
            <color rgb="FF000000"/>
            <rFont val="Tahoma"/>
            <family val="2"/>
          </rPr>
          <t>Alex GANVO:</t>
        </r>
        <r>
          <rPr>
            <sz val="10"/>
            <color rgb="FF000000"/>
            <rFont val="Tahoma"/>
            <family val="2"/>
          </rPr>
          <t xml:space="preserve">
</t>
        </r>
        <r>
          <rPr>
            <sz val="10"/>
            <color rgb="FF000000"/>
            <rFont val="Tahoma"/>
            <family val="2"/>
          </rPr>
          <t xml:space="preserve">Total des emprunts bancaire - trésorerie active (VMP + banque) = dette nette
</t>
        </r>
        <r>
          <rPr>
            <sz val="10"/>
            <color rgb="FF000000"/>
            <rFont val="Tahoma"/>
            <family val="2"/>
          </rPr>
          <t xml:space="preserve">
</t>
        </r>
        <r>
          <rPr>
            <sz val="10"/>
            <color rgb="FF000000"/>
            <rFont val="Tahoma"/>
            <family val="2"/>
          </rPr>
          <t xml:space="preserve"> </t>
        </r>
      </text>
    </comment>
    <comment ref="C23" authorId="0" shapeId="0" xr:uid="{93435ACF-1FF8-4D41-837D-3EC5B3B68B0C}">
      <text>
        <r>
          <rPr>
            <b/>
            <sz val="10"/>
            <color rgb="FF000000"/>
            <rFont val="Tahoma"/>
            <family val="2"/>
          </rPr>
          <t>Alex GANVO:</t>
        </r>
        <r>
          <rPr>
            <sz val="10"/>
            <color rgb="FF000000"/>
            <rFont val="Tahoma"/>
            <family val="2"/>
          </rPr>
          <t xml:space="preserve">
</t>
        </r>
        <r>
          <rPr>
            <sz val="10"/>
            <color rgb="FF000000"/>
            <rFont val="Tahoma"/>
            <family val="2"/>
          </rPr>
          <t>EBE * multiple de référence - dette nette = capitaux propres</t>
        </r>
      </text>
    </comment>
    <comment ref="D46" authorId="0" shapeId="0" xr:uid="{5BA08A8D-3127-514C-A5E2-CA58A380A327}">
      <text>
        <r>
          <rPr>
            <b/>
            <sz val="10"/>
            <color rgb="FF000000"/>
            <rFont val="Tahoma"/>
            <family val="2"/>
          </rPr>
          <t>Alex GANVO:</t>
        </r>
        <r>
          <rPr>
            <sz val="10"/>
            <color rgb="FF000000"/>
            <rFont val="Tahoma"/>
            <family val="2"/>
          </rPr>
          <t xml:space="preserve">
</t>
        </r>
        <r>
          <rPr>
            <sz val="10"/>
            <color rgb="FF000000"/>
            <rFont val="Tahoma"/>
            <family val="2"/>
          </rPr>
          <t>Actualisation de 15%</t>
        </r>
      </text>
    </comment>
  </commentList>
</comments>
</file>

<file path=xl/sharedStrings.xml><?xml version="1.0" encoding="utf-8"?>
<sst xmlns="http://schemas.openxmlformats.org/spreadsheetml/2006/main" count="129" uniqueCount="122">
  <si>
    <t>Matériel de transport</t>
  </si>
  <si>
    <t>CHARGES</t>
  </si>
  <si>
    <t>PRODUITS</t>
  </si>
  <si>
    <t>CHARGES D'EXPLOITATION</t>
  </si>
  <si>
    <t>PRODUITS D'EXPLOITATION</t>
  </si>
  <si>
    <t>Achat MP et emballages, consommables</t>
  </si>
  <si>
    <t>Vente de produits finis</t>
  </si>
  <si>
    <t>Variation des stocks</t>
  </si>
  <si>
    <t>Achats non stockés</t>
  </si>
  <si>
    <t>Prestations externes de maintenance</t>
  </si>
  <si>
    <t>Frais de personnel</t>
  </si>
  <si>
    <t>Dotation aux amortissements</t>
  </si>
  <si>
    <t>Dotation aux provisions</t>
  </si>
  <si>
    <t>Dotation aux provisions pour R&amp;C</t>
  </si>
  <si>
    <t>CHARGES FINANCIERES</t>
  </si>
  <si>
    <t>PRODUITS FINANCIERS</t>
  </si>
  <si>
    <t>Charges d'intérêts</t>
  </si>
  <si>
    <t>Dividendes reçus des participations</t>
  </si>
  <si>
    <t>IS</t>
  </si>
  <si>
    <t>BILAN</t>
  </si>
  <si>
    <t>ACTIFS</t>
  </si>
  <si>
    <t>PASSIFS</t>
  </si>
  <si>
    <t>VB</t>
  </si>
  <si>
    <t>Amortissements et dépréciations</t>
  </si>
  <si>
    <t>VNC</t>
  </si>
  <si>
    <t>ACTIF IMMOBILISÉ</t>
  </si>
  <si>
    <t>CAPITAUX PROPRES</t>
  </si>
  <si>
    <t>CORPORELS</t>
  </si>
  <si>
    <t>Capital social</t>
  </si>
  <si>
    <t>Terrains</t>
  </si>
  <si>
    <t>Réserves</t>
  </si>
  <si>
    <t>Constructions</t>
  </si>
  <si>
    <t>RAN</t>
  </si>
  <si>
    <t>Installations techniques</t>
  </si>
  <si>
    <t>Résultat de l’année</t>
  </si>
  <si>
    <t>Ordinateurs</t>
  </si>
  <si>
    <t>Provision pour R&amp;C</t>
  </si>
  <si>
    <t>INCORPORELS</t>
  </si>
  <si>
    <t>Frais d’établissement</t>
  </si>
  <si>
    <t>Fonds de commerce</t>
  </si>
  <si>
    <t>DETTES</t>
  </si>
  <si>
    <t>FINANCIERS</t>
  </si>
  <si>
    <t>Emprunt pool bancaire 1</t>
  </si>
  <si>
    <t>Titres de participation</t>
  </si>
  <si>
    <t>Emprunt pool bancaire 2</t>
  </si>
  <si>
    <t>ACTIF CIRCULANT</t>
  </si>
  <si>
    <t>Dettes fournisseurs</t>
  </si>
  <si>
    <t>Stocks</t>
  </si>
  <si>
    <t>Dettes sociales</t>
  </si>
  <si>
    <t>Créances clients</t>
  </si>
  <si>
    <t>Dette de TVA collectée</t>
  </si>
  <si>
    <t>Créances de TVA déductible</t>
  </si>
  <si>
    <t>Dette fiscale d'IS</t>
  </si>
  <si>
    <t>Charges à répartir</t>
  </si>
  <si>
    <t>VMP</t>
  </si>
  <si>
    <t>Banque</t>
  </si>
  <si>
    <t>litige avec un salarié</t>
  </si>
  <si>
    <t>Résultat</t>
  </si>
  <si>
    <t>Condanation</t>
  </si>
  <si>
    <t>capitaux propres</t>
  </si>
  <si>
    <t>Total actif</t>
  </si>
  <si>
    <t>Actif fictif</t>
  </si>
  <si>
    <t>dividende prévu non encore versé à déduire</t>
  </si>
  <si>
    <t>dettes (y compris la prov R&amp;C)</t>
  </si>
  <si>
    <t>ANC</t>
  </si>
  <si>
    <t>CALCUL PAR LES CP</t>
  </si>
  <si>
    <t>CALCUL PAR L'ACTIF</t>
  </si>
  <si>
    <t>PV ou MV actif</t>
  </si>
  <si>
    <t>VU valeur d'utilité</t>
  </si>
  <si>
    <t>terrain</t>
  </si>
  <si>
    <t>matériel de transport</t>
  </si>
  <si>
    <t>immos financières</t>
  </si>
  <si>
    <t>Total</t>
  </si>
  <si>
    <t>Terrain valeur d'utilité</t>
  </si>
  <si>
    <t>Installation technique</t>
  </si>
  <si>
    <t>Dividende actionnaire du 20 avril</t>
  </si>
  <si>
    <t>V marché ou valeur vénale</t>
  </si>
  <si>
    <t>Plus values latentes et moin values latentes</t>
  </si>
  <si>
    <t xml:space="preserve">valeur du capital </t>
  </si>
  <si>
    <t>prix de la part</t>
  </si>
  <si>
    <t>nombre de titres total</t>
  </si>
  <si>
    <t>tx de particpation</t>
  </si>
  <si>
    <t>nombre de titres détenu par JV</t>
  </si>
  <si>
    <t>valeur au prix du cours de 10€/part</t>
  </si>
  <si>
    <t>Participation financière</t>
  </si>
  <si>
    <t>VUCB</t>
  </si>
  <si>
    <t>Bilan au 31/12/N</t>
  </si>
  <si>
    <t>ANCC à partir des CP</t>
  </si>
  <si>
    <t xml:space="preserve">PV ou MV nettes </t>
  </si>
  <si>
    <t>Fiscalité latente</t>
  </si>
  <si>
    <t>Impôt</t>
  </si>
  <si>
    <t>créance fiscale latente = actif fictif * taux d'IS</t>
  </si>
  <si>
    <t>dette fiscale latente = provision réglementée * taux d'IS</t>
  </si>
  <si>
    <t>Fiscalité latente dette</t>
  </si>
  <si>
    <t>CB</t>
  </si>
  <si>
    <t>créance fiscale latente</t>
  </si>
  <si>
    <t>SurValeur</t>
  </si>
  <si>
    <t>Provision pour risque et charge</t>
  </si>
  <si>
    <t>En euros</t>
  </si>
  <si>
    <t>société A</t>
  </si>
  <si>
    <t>société B</t>
  </si>
  <si>
    <t>société C</t>
  </si>
  <si>
    <t>société D</t>
  </si>
  <si>
    <t>CA</t>
  </si>
  <si>
    <t>EBE</t>
  </si>
  <si>
    <t>Valeur des TITRES
lors de la
transaction passée</t>
  </si>
  <si>
    <t>Correction du multiple du fait de la taille = décote</t>
  </si>
  <si>
    <t>Transaction comparable</t>
  </si>
  <si>
    <t>EBE/CA</t>
  </si>
  <si>
    <t>Multiple de l'EBE</t>
  </si>
  <si>
    <t>Moyenne</t>
  </si>
  <si>
    <t>dette nette</t>
  </si>
  <si>
    <t>Valeur d'entreprise</t>
  </si>
  <si>
    <t>Capitaux propres</t>
  </si>
  <si>
    <t>montant du contrat non actualisés</t>
  </si>
  <si>
    <t>3/ La VU du crédit bail</t>
  </si>
  <si>
    <t>Actualisation</t>
  </si>
  <si>
    <t>Valeur des redevances actualisés</t>
  </si>
  <si>
    <t>VUCB  au 31/12/N</t>
  </si>
  <si>
    <t>La redevance restante</t>
  </si>
  <si>
    <t>Provision pour risque et charges suite à la condanation</t>
  </si>
  <si>
    <t>Entreprise cible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</si>
</sst>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0.00\ &quot;€&quot;_);[Red]\(#,##0.00\ &quot;€&quot;\)"/>
    <numFmt numFmtId="44" formatCode="_ * #,##0.00_)\ &quot;€&quot;_ ;_ * \(#,##0.00\)\ &quot;€&quot;_ ;_ * &quot;-&quot;??_)\ &quot;€&quot;_ ;_ @_ "/>
    <numFmt numFmtId="168" formatCode="#,##0.00\ &quot;€&quot;"/>
    <numFmt numFmtId="170" formatCode="0.0%"/>
    <numFmt numFmtId="173" formatCode="#,##0\ &quot;€&quot;"/>
  </numFmts>
  <fonts count="21"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1"/>
      <name val="Aptos Narrow"/>
      <scheme val="minor"/>
    </font>
    <font>
      <sz val="12"/>
      <color rgb="FF212529"/>
      <name val="Aptos Narrow"/>
      <scheme val="minor"/>
    </font>
    <font>
      <b/>
      <sz val="12"/>
      <color rgb="FF212529"/>
      <name val="Aptos Narrow"/>
      <scheme val="minor"/>
    </font>
    <font>
      <b/>
      <sz val="12"/>
      <color theme="1"/>
      <name val="Aptos Narrow"/>
      <scheme val="minor"/>
    </font>
    <font>
      <sz val="11"/>
      <name val="Aptos Narrow"/>
      <family val="2"/>
      <scheme val="minor"/>
    </font>
    <font>
      <b/>
      <sz val="12"/>
      <name val="Aptos Narrow"/>
      <family val="2"/>
      <scheme val="minor"/>
    </font>
    <font>
      <b/>
      <sz val="10"/>
      <color rgb="FF000000"/>
      <name val="Tahoma"/>
      <family val="2"/>
    </font>
    <font>
      <sz val="10"/>
      <color rgb="FF000000"/>
      <name val="Tahoma"/>
      <family val="2"/>
    </font>
    <font>
      <b/>
      <sz val="10"/>
      <color rgb="FF000000"/>
      <name val="Aptos Narrow"/>
      <scheme val="minor"/>
    </font>
    <font>
      <sz val="10"/>
      <color rgb="FF000000"/>
      <name val="Aptos Narrow"/>
      <scheme val="minor"/>
    </font>
    <font>
      <b/>
      <sz val="11"/>
      <name val="Aptos Narrow"/>
      <family val="2"/>
      <scheme val="minor"/>
    </font>
    <font>
      <b/>
      <sz val="11"/>
      <name val="Aptos Narrow"/>
      <scheme val="minor"/>
    </font>
    <font>
      <i/>
      <u/>
      <sz val="11"/>
      <name val="Calibri"/>
      <family val="2"/>
    </font>
    <font>
      <sz val="11"/>
      <name val="Calibri"/>
      <family val="2"/>
    </font>
    <font>
      <b/>
      <sz val="11"/>
      <name val="Calibri"/>
      <family val="2"/>
    </font>
    <font>
      <b/>
      <i/>
      <sz val="11"/>
      <name val="Calibri"/>
      <family val="2"/>
    </font>
    <font>
      <b/>
      <sz val="12"/>
      <name val="Aptos Narrow"/>
      <scheme val="minor"/>
    </font>
    <font>
      <sz val="12"/>
      <name val="Aptos Narrow"/>
      <scheme val="minor"/>
    </font>
  </fonts>
  <fills count="3">
    <fill>
      <patternFill patternType="none"/>
    </fill>
    <fill>
      <patternFill patternType="gray125"/>
    </fill>
    <fill>
      <patternFill patternType="solid">
        <fgColor rgb="FFFFFF0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62">
    <xf numFmtId="0" fontId="0" fillId="0" borderId="0" xfId="0"/>
    <xf numFmtId="3" fontId="0" fillId="0" borderId="0" xfId="0" applyNumberFormat="1"/>
    <xf numFmtId="0" fontId="4" fillId="0" borderId="1" xfId="0" applyFont="1" applyBorder="1"/>
    <xf numFmtId="8" fontId="4" fillId="0" borderId="1" xfId="0" applyNumberFormat="1" applyFont="1" applyBorder="1"/>
    <xf numFmtId="0" fontId="3" fillId="0" borderId="1" xfId="0" applyFont="1" applyBorder="1"/>
    <xf numFmtId="0" fontId="4" fillId="0" borderId="3" xfId="0" applyFont="1" applyBorder="1" applyAlignment="1">
      <alignment horizontal="center"/>
    </xf>
    <xf numFmtId="0" fontId="4" fillId="0" borderId="4" xfId="0" applyFont="1" applyBorder="1" applyAlignment="1">
      <alignment horizontal="center"/>
    </xf>
    <xf numFmtId="0" fontId="3" fillId="0" borderId="2" xfId="0" applyFont="1" applyBorder="1" applyAlignment="1">
      <alignment horizontal="center"/>
    </xf>
    <xf numFmtId="0" fontId="4" fillId="2" borderId="1" xfId="0" applyFont="1" applyFill="1" applyBorder="1"/>
    <xf numFmtId="0" fontId="0" fillId="0" borderId="1" xfId="0" applyBorder="1"/>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3" fillId="0" borderId="5" xfId="0" applyFont="1" applyBorder="1" applyAlignment="1">
      <alignment horizontal="center"/>
    </xf>
    <xf numFmtId="0" fontId="4" fillId="2" borderId="6" xfId="0" applyFont="1" applyFill="1" applyBorder="1"/>
    <xf numFmtId="0" fontId="4" fillId="0" borderId="0" xfId="0" applyFont="1" applyBorder="1"/>
    <xf numFmtId="0" fontId="3" fillId="0" borderId="0" xfId="0" applyFont="1" applyBorder="1"/>
    <xf numFmtId="0" fontId="4" fillId="0" borderId="2" xfId="0" applyFont="1" applyBorder="1"/>
    <xf numFmtId="0" fontId="4" fillId="0" borderId="8" xfId="0" applyFont="1" applyBorder="1"/>
    <xf numFmtId="0" fontId="4" fillId="0" borderId="9" xfId="0" applyFont="1" applyBorder="1"/>
    <xf numFmtId="3" fontId="4" fillId="0" borderId="9" xfId="0" applyNumberFormat="1" applyFont="1" applyBorder="1"/>
    <xf numFmtId="0" fontId="7" fillId="0" borderId="0" xfId="0" applyFont="1"/>
    <xf numFmtId="0" fontId="8" fillId="0" borderId="14" xfId="0" applyFont="1" applyBorder="1"/>
    <xf numFmtId="168" fontId="7" fillId="0" borderId="11" xfId="0" applyNumberFormat="1" applyFont="1" applyBorder="1"/>
    <xf numFmtId="168" fontId="7" fillId="0" borderId="13" xfId="0" applyNumberFormat="1" applyFont="1" applyBorder="1"/>
    <xf numFmtId="168" fontId="8" fillId="0" borderId="15" xfId="0" applyNumberFormat="1" applyFont="1" applyBorder="1"/>
    <xf numFmtId="0" fontId="0" fillId="0" borderId="0" xfId="0" applyAlignment="1">
      <alignment horizontal="center" vertical="center"/>
    </xf>
    <xf numFmtId="168" fontId="0" fillId="0" borderId="17" xfId="0" applyNumberFormat="1" applyBorder="1" applyAlignment="1">
      <alignment horizontal="center" vertical="center"/>
    </xf>
    <xf numFmtId="0" fontId="6" fillId="0" borderId="0" xfId="0" applyFont="1"/>
    <xf numFmtId="8" fontId="0" fillId="0" borderId="11" xfId="0" applyNumberFormat="1" applyBorder="1"/>
    <xf numFmtId="168" fontId="0" fillId="0" borderId="13" xfId="0" applyNumberFormat="1" applyBorder="1"/>
    <xf numFmtId="8" fontId="0" fillId="0" borderId="13" xfId="0" applyNumberFormat="1" applyBorder="1"/>
    <xf numFmtId="0" fontId="6" fillId="0" borderId="14" xfId="0" applyFont="1" applyBorder="1"/>
    <xf numFmtId="8" fontId="6" fillId="0" borderId="15" xfId="0" applyNumberFormat="1" applyFont="1" applyBorder="1"/>
    <xf numFmtId="0" fontId="8" fillId="0" borderId="0" xfId="0" applyFont="1" applyBorder="1"/>
    <xf numFmtId="168" fontId="8" fillId="0" borderId="0" xfId="0" applyNumberFormat="1" applyFont="1" applyBorder="1"/>
    <xf numFmtId="0" fontId="13" fillId="0" borderId="0" xfId="0" applyFont="1"/>
    <xf numFmtId="3" fontId="7" fillId="0" borderId="1" xfId="0" applyNumberFormat="1" applyFont="1" applyBorder="1"/>
    <xf numFmtId="0" fontId="7" fillId="0" borderId="25" xfId="0" applyFont="1" applyBorder="1"/>
    <xf numFmtId="0" fontId="7" fillId="0" borderId="26" xfId="0" applyFont="1" applyBorder="1"/>
    <xf numFmtId="0" fontId="13" fillId="0" borderId="26" xfId="0" applyFont="1" applyBorder="1"/>
    <xf numFmtId="3" fontId="13" fillId="0" borderId="27" xfId="0" applyNumberFormat="1" applyFont="1" applyBorder="1"/>
    <xf numFmtId="0" fontId="0" fillId="2" borderId="18" xfId="0" applyFill="1" applyBorder="1" applyAlignment="1">
      <alignment horizontal="center" vertical="center" wrapText="1"/>
    </xf>
    <xf numFmtId="168" fontId="0" fillId="0" borderId="15" xfId="0" applyNumberFormat="1" applyBorder="1"/>
    <xf numFmtId="168" fontId="0" fillId="0" borderId="17" xfId="0" applyNumberFormat="1" applyBorder="1"/>
    <xf numFmtId="0" fontId="0" fillId="2" borderId="16" xfId="0" applyFill="1" applyBorder="1" applyAlignment="1">
      <alignment horizontal="center" vertical="center" wrapText="1"/>
    </xf>
    <xf numFmtId="0" fontId="0" fillId="2" borderId="28" xfId="0" applyFill="1" applyBorder="1" applyAlignment="1">
      <alignment horizontal="center" vertical="center" wrapText="1"/>
    </xf>
    <xf numFmtId="3" fontId="14" fillId="0" borderId="24" xfId="0" applyNumberFormat="1" applyFont="1" applyBorder="1"/>
    <xf numFmtId="0" fontId="0" fillId="2" borderId="20" xfId="0" applyFill="1" applyBorder="1" applyAlignment="1">
      <alignment horizontal="center" vertical="center" wrapText="1"/>
    </xf>
    <xf numFmtId="0" fontId="0" fillId="2" borderId="22" xfId="0" applyFill="1" applyBorder="1" applyAlignment="1">
      <alignment horizontal="center" vertical="center" wrapText="1"/>
    </xf>
    <xf numFmtId="168" fontId="0" fillId="0" borderId="25" xfId="0" applyNumberFormat="1" applyBorder="1"/>
    <xf numFmtId="168" fontId="0" fillId="0" borderId="27" xfId="0" applyNumberFormat="1" applyBorder="1"/>
    <xf numFmtId="0" fontId="15" fillId="0" borderId="0" xfId="0" applyFont="1"/>
    <xf numFmtId="0" fontId="0" fillId="0" borderId="20" xfId="0" applyBorder="1"/>
    <xf numFmtId="3" fontId="16" fillId="0" borderId="30" xfId="0" applyNumberFormat="1" applyFont="1" applyBorder="1"/>
    <xf numFmtId="3" fontId="16" fillId="0" borderId="32" xfId="0" applyNumberFormat="1" applyFont="1" applyBorder="1"/>
    <xf numFmtId="9" fontId="16" fillId="0" borderId="32" xfId="0" applyNumberFormat="1" applyFont="1" applyBorder="1"/>
    <xf numFmtId="3" fontId="17" fillId="0" borderId="15" xfId="0" applyNumberFormat="1" applyFont="1" applyBorder="1"/>
    <xf numFmtId="0" fontId="18" fillId="0" borderId="0" xfId="0" applyFont="1"/>
    <xf numFmtId="0" fontId="0" fillId="0" borderId="23" xfId="0" applyBorder="1"/>
    <xf numFmtId="168" fontId="6" fillId="0" borderId="24" xfId="0" applyNumberFormat="1" applyFont="1" applyBorder="1"/>
    <xf numFmtId="0" fontId="6" fillId="0" borderId="25" xfId="0" applyFont="1" applyBorder="1"/>
    <xf numFmtId="168" fontId="6" fillId="2" borderId="27" xfId="0" applyNumberFormat="1" applyFont="1" applyFill="1" applyBorder="1"/>
    <xf numFmtId="9" fontId="0" fillId="2" borderId="22" xfId="0" applyNumberFormat="1" applyFill="1" applyBorder="1"/>
    <xf numFmtId="0" fontId="0" fillId="0" borderId="25" xfId="0" applyBorder="1"/>
    <xf numFmtId="0" fontId="6" fillId="0" borderId="27" xfId="0" applyFont="1" applyBorder="1"/>
    <xf numFmtId="0" fontId="6" fillId="0" borderId="10" xfId="0" applyFont="1" applyBorder="1"/>
    <xf numFmtId="0" fontId="6" fillId="0" borderId="20" xfId="0" applyFont="1" applyBorder="1"/>
    <xf numFmtId="0" fontId="0" fillId="0" borderId="22" xfId="0" applyBorder="1"/>
    <xf numFmtId="44" fontId="6" fillId="0" borderId="27" xfId="0" applyNumberFormat="1" applyFont="1" applyBorder="1"/>
    <xf numFmtId="0" fontId="14" fillId="0" borderId="20" xfId="0" applyFont="1" applyBorder="1" applyAlignment="1">
      <alignment horizontal="left" vertical="center"/>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xf numFmtId="0" fontId="17" fillId="0" borderId="20" xfId="0" applyFont="1" applyBorder="1"/>
    <xf numFmtId="0" fontId="17" fillId="0" borderId="31" xfId="0" applyFont="1" applyBorder="1"/>
    <xf numFmtId="0" fontId="17" fillId="0" borderId="33" xfId="0" applyFont="1" applyBorder="1"/>
    <xf numFmtId="0" fontId="17" fillId="0" borderId="20" xfId="0" applyFont="1" applyFill="1" applyBorder="1"/>
    <xf numFmtId="0" fontId="2" fillId="0" borderId="23" xfId="0" applyFont="1" applyBorder="1"/>
    <xf numFmtId="0" fontId="2" fillId="0" borderId="25" xfId="0" applyFont="1" applyBorder="1"/>
    <xf numFmtId="0" fontId="6" fillId="0" borderId="23" xfId="0" applyFont="1" applyBorder="1"/>
    <xf numFmtId="0" fontId="17" fillId="0" borderId="25" xfId="0" applyFont="1" applyFill="1" applyBorder="1"/>
    <xf numFmtId="0" fontId="14" fillId="0" borderId="12" xfId="0" applyFont="1" applyBorder="1"/>
    <xf numFmtId="0" fontId="14" fillId="0" borderId="10" xfId="0" applyFont="1" applyBorder="1"/>
    <xf numFmtId="168" fontId="0" fillId="0" borderId="19" xfId="0" applyNumberFormat="1" applyBorder="1"/>
    <xf numFmtId="0" fontId="6" fillId="0" borderId="22" xfId="0" applyFont="1" applyBorder="1"/>
    <xf numFmtId="0" fontId="0" fillId="0" borderId="21" xfId="0" applyBorder="1"/>
    <xf numFmtId="3" fontId="0" fillId="0" borderId="1" xfId="0" applyNumberFormat="1" applyBorder="1"/>
    <xf numFmtId="0" fontId="0" fillId="0" borderId="23" xfId="0" applyBorder="1" applyAlignment="1">
      <alignment wrapText="1"/>
    </xf>
    <xf numFmtId="0" fontId="0" fillId="0" borderId="26" xfId="0" applyBorder="1"/>
    <xf numFmtId="170" fontId="0" fillId="0" borderId="1" xfId="1" applyNumberFormat="1" applyFont="1" applyBorder="1"/>
    <xf numFmtId="3" fontId="0" fillId="0" borderId="24" xfId="0" applyNumberFormat="1" applyBorder="1"/>
    <xf numFmtId="170" fontId="0" fillId="0" borderId="24" xfId="1" applyNumberFormat="1" applyFont="1" applyBorder="1"/>
    <xf numFmtId="9" fontId="0" fillId="0" borderId="26" xfId="1" applyFont="1" applyBorder="1"/>
    <xf numFmtId="0" fontId="0" fillId="0" borderId="27" xfId="0" applyBorder="1"/>
    <xf numFmtId="0" fontId="0" fillId="0" borderId="29" xfId="0" applyBorder="1"/>
    <xf numFmtId="0" fontId="0" fillId="0" borderId="28" xfId="0" applyBorder="1"/>
    <xf numFmtId="168" fontId="0" fillId="2" borderId="27" xfId="0" applyNumberFormat="1" applyFill="1" applyBorder="1"/>
    <xf numFmtId="3" fontId="0" fillId="2" borderId="22" xfId="0" applyNumberFormat="1" applyFill="1" applyBorder="1"/>
    <xf numFmtId="168" fontId="0" fillId="2" borderId="24" xfId="0" applyNumberFormat="1" applyFill="1" applyBorder="1"/>
    <xf numFmtId="8" fontId="0" fillId="2" borderId="24" xfId="0" applyNumberFormat="1" applyFill="1" applyBorder="1"/>
    <xf numFmtId="0" fontId="0" fillId="2" borderId="28" xfId="0" applyFill="1" applyBorder="1"/>
    <xf numFmtId="0" fontId="4" fillId="0" borderId="34" xfId="0" applyFont="1" applyBorder="1" applyAlignment="1">
      <alignment horizontal="center"/>
    </xf>
    <xf numFmtId="0" fontId="4" fillId="0" borderId="35" xfId="0" applyFont="1" applyBorder="1" applyAlignment="1">
      <alignment horizontal="center"/>
    </xf>
    <xf numFmtId="0" fontId="4" fillId="0" borderId="30" xfId="0" applyFont="1" applyBorder="1" applyAlignment="1">
      <alignment horizontal="center"/>
    </xf>
    <xf numFmtId="0" fontId="4" fillId="0" borderId="36" xfId="0" applyFont="1" applyBorder="1" applyAlignment="1">
      <alignment horizontal="center"/>
    </xf>
    <xf numFmtId="0" fontId="3" fillId="0" borderId="37" xfId="0" applyFont="1" applyBorder="1" applyAlignment="1">
      <alignment horizontal="center"/>
    </xf>
    <xf numFmtId="0" fontId="4" fillId="0" borderId="23" xfId="0" applyFont="1" applyBorder="1"/>
    <xf numFmtId="0" fontId="3" fillId="0" borderId="38" xfId="0" applyFont="1" applyBorder="1"/>
    <xf numFmtId="0" fontId="4" fillId="2" borderId="23" xfId="0" applyFont="1" applyFill="1" applyBorder="1"/>
    <xf numFmtId="8" fontId="4" fillId="0" borderId="39" xfId="0" applyNumberFormat="1" applyFont="1" applyBorder="1"/>
    <xf numFmtId="0" fontId="5" fillId="0" borderId="23" xfId="0" applyFont="1" applyBorder="1"/>
    <xf numFmtId="8" fontId="4" fillId="0" borderId="24" xfId="0" applyNumberFormat="1" applyFont="1" applyBorder="1"/>
    <xf numFmtId="0" fontId="4" fillId="0" borderId="24" xfId="0" applyFont="1" applyBorder="1"/>
    <xf numFmtId="168" fontId="4" fillId="0" borderId="24" xfId="0" applyNumberFormat="1" applyFont="1" applyBorder="1"/>
    <xf numFmtId="0" fontId="3" fillId="0" borderId="24" xfId="0" applyFont="1" applyBorder="1"/>
    <xf numFmtId="8" fontId="5" fillId="0" borderId="26" xfId="0" applyNumberFormat="1" applyFont="1" applyBorder="1"/>
    <xf numFmtId="8" fontId="4" fillId="2" borderId="26" xfId="0" applyNumberFormat="1" applyFont="1" applyFill="1" applyBorder="1"/>
    <xf numFmtId="0" fontId="4" fillId="0" borderId="26" xfId="0" applyFont="1" applyBorder="1"/>
    <xf numFmtId="8" fontId="4" fillId="2" borderId="27" xfId="0" applyNumberFormat="1" applyFont="1" applyFill="1" applyBorder="1"/>
    <xf numFmtId="0" fontId="0" fillId="0" borderId="6" xfId="0" applyBorder="1"/>
    <xf numFmtId="3" fontId="0" fillId="2" borderId="7" xfId="0" applyNumberFormat="1" applyFill="1" applyBorder="1"/>
    <xf numFmtId="0" fontId="5" fillId="0" borderId="20" xfId="0" applyFont="1" applyBorder="1" applyAlignment="1">
      <alignment horizontal="center"/>
    </xf>
    <xf numFmtId="0" fontId="5" fillId="0" borderId="21" xfId="0" applyFont="1" applyBorder="1" applyAlignment="1">
      <alignment horizontal="center"/>
    </xf>
    <xf numFmtId="0" fontId="6" fillId="0" borderId="21" xfId="0" applyFont="1" applyBorder="1" applyAlignment="1">
      <alignment horizontal="center"/>
    </xf>
    <xf numFmtId="0" fontId="6" fillId="0" borderId="22" xfId="0" applyFont="1" applyBorder="1" applyAlignment="1">
      <alignment horizontal="center"/>
    </xf>
    <xf numFmtId="0" fontId="4" fillId="0" borderId="40" xfId="0" applyFont="1" applyBorder="1"/>
    <xf numFmtId="0" fontId="4" fillId="0" borderId="13" xfId="0" applyFont="1" applyBorder="1"/>
    <xf numFmtId="0" fontId="4" fillId="0" borderId="41" xfId="0" applyFont="1" applyBorder="1"/>
    <xf numFmtId="3" fontId="4" fillId="0" borderId="13" xfId="0" applyNumberFormat="1" applyFont="1" applyBorder="1"/>
    <xf numFmtId="0" fontId="3" fillId="0" borderId="13" xfId="0" applyFont="1" applyBorder="1"/>
    <xf numFmtId="0" fontId="4" fillId="0" borderId="33" xfId="0" applyFont="1" applyBorder="1"/>
    <xf numFmtId="3" fontId="4" fillId="2" borderId="26" xfId="0" applyNumberFormat="1" applyFont="1" applyFill="1" applyBorder="1"/>
    <xf numFmtId="0" fontId="3" fillId="0" borderId="26" xfId="0" applyFont="1" applyBorder="1"/>
    <xf numFmtId="3" fontId="3" fillId="2" borderId="42" xfId="0" applyNumberFormat="1" applyFont="1" applyFill="1" applyBorder="1"/>
    <xf numFmtId="0" fontId="0" fillId="0" borderId="0" xfId="0" applyFill="1" applyBorder="1"/>
    <xf numFmtId="170" fontId="0" fillId="0" borderId="0" xfId="1" applyNumberFormat="1" applyFont="1" applyFill="1" applyBorder="1"/>
    <xf numFmtId="10" fontId="20" fillId="0" borderId="1" xfId="0" applyNumberFormat="1" applyFont="1" applyBorder="1"/>
    <xf numFmtId="10" fontId="20" fillId="0" borderId="23" xfId="0" applyNumberFormat="1" applyFont="1" applyBorder="1"/>
    <xf numFmtId="10" fontId="20" fillId="0" borderId="24" xfId="0" applyNumberFormat="1" applyFont="1" applyBorder="1"/>
    <xf numFmtId="3" fontId="20" fillId="0" borderId="25" xfId="0" applyNumberFormat="1" applyFont="1" applyBorder="1"/>
    <xf numFmtId="3" fontId="20" fillId="0" borderId="27" xfId="0" applyNumberFormat="1" applyFont="1" applyBorder="1"/>
    <xf numFmtId="0" fontId="19" fillId="0" borderId="18" xfId="0" applyFont="1" applyBorder="1"/>
    <xf numFmtId="0" fontId="19" fillId="0" borderId="43" xfId="0" applyFont="1" applyBorder="1"/>
    <xf numFmtId="0" fontId="14" fillId="0" borderId="44" xfId="0" applyFont="1" applyBorder="1"/>
    <xf numFmtId="0" fontId="14" fillId="0" borderId="45" xfId="0" applyFont="1" applyBorder="1"/>
    <xf numFmtId="0" fontId="14" fillId="0" borderId="46" xfId="0" applyFont="1" applyBorder="1"/>
    <xf numFmtId="3" fontId="20" fillId="0" borderId="20" xfId="0" applyNumberFormat="1" applyFont="1" applyBorder="1"/>
    <xf numFmtId="3" fontId="20" fillId="0" borderId="21" xfId="0" applyNumberFormat="1" applyFont="1" applyBorder="1"/>
    <xf numFmtId="3" fontId="20" fillId="0" borderId="22" xfId="0" applyNumberFormat="1" applyFont="1" applyBorder="1"/>
    <xf numFmtId="0" fontId="19" fillId="0" borderId="19" xfId="0" applyFont="1" applyBorder="1"/>
    <xf numFmtId="3" fontId="20" fillId="0" borderId="26" xfId="0" applyNumberFormat="1" applyFont="1" applyBorder="1"/>
    <xf numFmtId="0" fontId="19" fillId="0" borderId="20" xfId="0" applyFont="1" applyFill="1" applyBorder="1"/>
    <xf numFmtId="168" fontId="0" fillId="0" borderId="22" xfId="0" applyNumberFormat="1" applyBorder="1"/>
    <xf numFmtId="0" fontId="19" fillId="0" borderId="23" xfId="0" applyFont="1" applyFill="1" applyBorder="1"/>
    <xf numFmtId="0" fontId="19" fillId="0" borderId="25" xfId="0" applyFont="1" applyFill="1" applyBorder="1"/>
    <xf numFmtId="173" fontId="6" fillId="2" borderId="27" xfId="0" applyNumberFormat="1" applyFont="1" applyFill="1" applyBorder="1"/>
    <xf numFmtId="173" fontId="0" fillId="0" borderId="24" xfId="0" applyNumberFormat="1" applyBorder="1"/>
    <xf numFmtId="168" fontId="3" fillId="0" borderId="22" xfId="0" applyNumberFormat="1" applyFont="1" applyBorder="1"/>
    <xf numFmtId="168" fontId="3" fillId="0" borderId="24" xfId="0" applyNumberFormat="1" applyFont="1" applyBorder="1"/>
    <xf numFmtId="0" fontId="0" fillId="0" borderId="47" xfId="0" applyBorder="1"/>
    <xf numFmtId="9" fontId="0" fillId="0" borderId="26" xfId="0" applyNumberFormat="1" applyBorder="1"/>
  </cellXfs>
  <cellStyles count="2">
    <cellStyle name="Normal" xfId="0" builtinId="0"/>
    <cellStyle name="Pourcentage" xfId="1"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E2B1-2CE7-E548-916C-FEF5E9CB9703}">
  <sheetPr codeName="Feuil1"/>
  <dimension ref="C4:H67"/>
  <sheetViews>
    <sheetView topLeftCell="A3" workbookViewId="0">
      <selection activeCell="D22" sqref="D22"/>
    </sheetView>
  </sheetViews>
  <sheetFormatPr baseColWidth="10" defaultRowHeight="16" x14ac:dyDescent="0.2"/>
  <cols>
    <col min="3" max="3" width="33" customWidth="1"/>
    <col min="4" max="4" width="35.83203125" customWidth="1"/>
    <col min="5" max="5" width="25.6640625" customWidth="1"/>
    <col min="6" max="6" width="30.6640625" customWidth="1"/>
    <col min="7" max="7" width="32.5" customWidth="1"/>
    <col min="8" max="8" width="28.33203125" customWidth="1"/>
  </cols>
  <sheetData>
    <row r="4" spans="3:8" ht="17" thickBot="1" x14ac:dyDescent="0.25"/>
    <row r="5" spans="3:8" x14ac:dyDescent="0.2">
      <c r="C5" s="102" t="s">
        <v>19</v>
      </c>
      <c r="D5" s="103"/>
      <c r="E5" s="103"/>
      <c r="F5" s="103"/>
      <c r="G5" s="103"/>
      <c r="H5" s="104"/>
    </row>
    <row r="6" spans="3:8" x14ac:dyDescent="0.2">
      <c r="C6" s="105" t="s">
        <v>20</v>
      </c>
      <c r="D6" s="5"/>
      <c r="E6" s="6"/>
      <c r="F6" s="7" t="s">
        <v>21</v>
      </c>
      <c r="G6" s="13"/>
      <c r="H6" s="106"/>
    </row>
    <row r="7" spans="3:8" ht="34" x14ac:dyDescent="0.2">
      <c r="C7" s="107"/>
      <c r="D7" s="10" t="s">
        <v>22</v>
      </c>
      <c r="E7" s="11" t="s">
        <v>23</v>
      </c>
      <c r="F7" s="12" t="s">
        <v>24</v>
      </c>
      <c r="G7" s="17"/>
      <c r="H7" s="108"/>
    </row>
    <row r="8" spans="3:8" x14ac:dyDescent="0.2">
      <c r="C8" s="109" t="s">
        <v>25</v>
      </c>
      <c r="D8" s="2"/>
      <c r="E8" s="2"/>
      <c r="F8" s="2"/>
      <c r="G8" s="14" t="s">
        <v>26</v>
      </c>
      <c r="H8" s="110">
        <f>SUM(H9:H12)</f>
        <v>3388830</v>
      </c>
    </row>
    <row r="9" spans="3:8" x14ac:dyDescent="0.2">
      <c r="C9" s="111" t="s">
        <v>27</v>
      </c>
      <c r="D9" s="2"/>
      <c r="E9" s="2"/>
      <c r="F9" s="2"/>
      <c r="G9" s="2" t="s">
        <v>28</v>
      </c>
      <c r="H9" s="112">
        <v>1600000</v>
      </c>
    </row>
    <row r="10" spans="3:8" x14ac:dyDescent="0.2">
      <c r="C10" s="107" t="s">
        <v>29</v>
      </c>
      <c r="D10" s="3">
        <v>850000</v>
      </c>
      <c r="E10" s="2"/>
      <c r="F10" s="3">
        <v>850000</v>
      </c>
      <c r="G10" s="2" t="s">
        <v>30</v>
      </c>
      <c r="H10" s="112">
        <v>154520</v>
      </c>
    </row>
    <row r="11" spans="3:8" x14ac:dyDescent="0.2">
      <c r="C11" s="107" t="s">
        <v>31</v>
      </c>
      <c r="D11" s="3">
        <v>480000</v>
      </c>
      <c r="E11" s="3">
        <v>355000</v>
      </c>
      <c r="F11" s="3">
        <v>125000</v>
      </c>
      <c r="G11" s="2" t="s">
        <v>32</v>
      </c>
      <c r="H11" s="112">
        <v>1245000</v>
      </c>
    </row>
    <row r="12" spans="3:8" x14ac:dyDescent="0.2">
      <c r="C12" s="107" t="s">
        <v>33</v>
      </c>
      <c r="D12" s="3">
        <v>2860500</v>
      </c>
      <c r="E12" s="3">
        <v>1325000</v>
      </c>
      <c r="F12" s="3">
        <v>1535500</v>
      </c>
      <c r="G12" s="2" t="s">
        <v>34</v>
      </c>
      <c r="H12" s="112">
        <v>389310</v>
      </c>
    </row>
    <row r="13" spans="3:8" x14ac:dyDescent="0.2">
      <c r="C13" s="107" t="s">
        <v>35</v>
      </c>
      <c r="D13" s="3">
        <v>19000</v>
      </c>
      <c r="E13" s="3">
        <v>8730</v>
      </c>
      <c r="F13" s="3">
        <v>10270</v>
      </c>
      <c r="G13" s="2"/>
      <c r="H13" s="113"/>
    </row>
    <row r="14" spans="3:8" x14ac:dyDescent="0.2">
      <c r="C14" s="107" t="s">
        <v>0</v>
      </c>
      <c r="D14" s="3">
        <v>300000</v>
      </c>
      <c r="E14" s="3">
        <v>83000</v>
      </c>
      <c r="F14" s="3">
        <v>217000</v>
      </c>
      <c r="G14" s="8" t="s">
        <v>36</v>
      </c>
      <c r="H14" s="114">
        <v>15000</v>
      </c>
    </row>
    <row r="15" spans="3:8" x14ac:dyDescent="0.2">
      <c r="C15" s="111" t="s">
        <v>37</v>
      </c>
      <c r="D15" s="2"/>
      <c r="E15" s="2"/>
      <c r="F15" s="3"/>
      <c r="G15" s="4" t="s">
        <v>56</v>
      </c>
      <c r="H15" s="115"/>
    </row>
    <row r="16" spans="3:8" x14ac:dyDescent="0.2">
      <c r="C16" s="107" t="s">
        <v>38</v>
      </c>
      <c r="D16" s="3">
        <v>20000</v>
      </c>
      <c r="E16" s="3">
        <v>15000</v>
      </c>
      <c r="F16" s="3">
        <v>5000</v>
      </c>
      <c r="G16" s="2"/>
      <c r="H16" s="113"/>
    </row>
    <row r="17" spans="3:8" x14ac:dyDescent="0.2">
      <c r="C17" s="107" t="s">
        <v>39</v>
      </c>
      <c r="D17" s="3">
        <v>120000</v>
      </c>
      <c r="E17" s="3">
        <v>50000</v>
      </c>
      <c r="F17" s="3">
        <v>70000</v>
      </c>
      <c r="G17" s="8" t="s">
        <v>40</v>
      </c>
      <c r="H17" s="112">
        <f>SUM(H18:H23)</f>
        <v>2280440</v>
      </c>
    </row>
    <row r="18" spans="3:8" x14ac:dyDescent="0.2">
      <c r="C18" s="111" t="s">
        <v>41</v>
      </c>
      <c r="D18" s="2"/>
      <c r="E18" s="2"/>
      <c r="F18" s="2"/>
      <c r="G18" s="2" t="s">
        <v>42</v>
      </c>
      <c r="H18" s="112">
        <v>1550000</v>
      </c>
    </row>
    <row r="19" spans="3:8" x14ac:dyDescent="0.2">
      <c r="C19" s="107" t="s">
        <v>43</v>
      </c>
      <c r="D19" s="3">
        <v>840000</v>
      </c>
      <c r="E19" s="3">
        <v>60000</v>
      </c>
      <c r="F19" s="3">
        <v>780000</v>
      </c>
      <c r="G19" s="2" t="s">
        <v>44</v>
      </c>
      <c r="H19" s="112">
        <v>465000</v>
      </c>
    </row>
    <row r="20" spans="3:8" x14ac:dyDescent="0.2">
      <c r="C20" s="109" t="s">
        <v>45</v>
      </c>
      <c r="D20" s="2"/>
      <c r="E20" s="2"/>
      <c r="F20" s="2"/>
      <c r="G20" s="2" t="s">
        <v>46</v>
      </c>
      <c r="H20" s="112">
        <v>190000</v>
      </c>
    </row>
    <row r="21" spans="3:8" x14ac:dyDescent="0.2">
      <c r="C21" s="107" t="s">
        <v>47</v>
      </c>
      <c r="D21" s="3">
        <v>281300</v>
      </c>
      <c r="E21" s="2"/>
      <c r="F21" s="3">
        <v>281300</v>
      </c>
      <c r="G21" s="2" t="s">
        <v>48</v>
      </c>
      <c r="H21" s="112">
        <v>20000</v>
      </c>
    </row>
    <row r="22" spans="3:8" x14ac:dyDescent="0.2">
      <c r="C22" s="107" t="s">
        <v>49</v>
      </c>
      <c r="D22" s="3">
        <v>454000</v>
      </c>
      <c r="E22" s="3">
        <v>22000</v>
      </c>
      <c r="F22" s="3">
        <v>432000</v>
      </c>
      <c r="G22" s="2" t="s">
        <v>50</v>
      </c>
      <c r="H22" s="112">
        <v>40000</v>
      </c>
    </row>
    <row r="23" spans="3:8" x14ac:dyDescent="0.2">
      <c r="C23" s="107" t="s">
        <v>51</v>
      </c>
      <c r="D23" s="3">
        <v>8200</v>
      </c>
      <c r="E23" s="2"/>
      <c r="F23" s="3">
        <v>8200</v>
      </c>
      <c r="G23" s="2" t="s">
        <v>52</v>
      </c>
      <c r="H23" s="112">
        <v>15440</v>
      </c>
    </row>
    <row r="24" spans="3:8" x14ac:dyDescent="0.2">
      <c r="C24" s="107" t="s">
        <v>53</v>
      </c>
      <c r="D24" s="3">
        <v>20000</v>
      </c>
      <c r="E24" s="2"/>
      <c r="F24" s="3">
        <v>20000</v>
      </c>
      <c r="G24" s="2"/>
      <c r="H24" s="113"/>
    </row>
    <row r="25" spans="3:8" x14ac:dyDescent="0.2">
      <c r="C25" s="107" t="s">
        <v>54</v>
      </c>
      <c r="D25" s="3">
        <v>730000</v>
      </c>
      <c r="E25" s="2"/>
      <c r="F25" s="3">
        <v>730000</v>
      </c>
      <c r="G25" s="2"/>
      <c r="H25" s="113"/>
    </row>
    <row r="26" spans="3:8" x14ac:dyDescent="0.2">
      <c r="C26" s="107" t="s">
        <v>55</v>
      </c>
      <c r="D26" s="3">
        <v>620000</v>
      </c>
      <c r="E26" s="2"/>
      <c r="F26" s="3">
        <v>620000</v>
      </c>
      <c r="G26" s="2"/>
      <c r="H26" s="113"/>
    </row>
    <row r="27" spans="3:8" ht="17" thickBot="1" x14ac:dyDescent="0.25">
      <c r="C27" s="64"/>
      <c r="D27" s="116">
        <f>SUM(D10:D26)</f>
        <v>7603000</v>
      </c>
      <c r="E27" s="116">
        <v>1918730</v>
      </c>
      <c r="F27" s="117">
        <f>D27-E27</f>
        <v>5684270</v>
      </c>
      <c r="G27" s="118"/>
      <c r="H27" s="119">
        <f>SUM(H7:H26)</f>
        <v>11353540</v>
      </c>
    </row>
    <row r="38" spans="3:6" ht="17" thickBot="1" x14ac:dyDescent="0.25"/>
    <row r="39" spans="3:6" x14ac:dyDescent="0.2">
      <c r="C39" s="122" t="s">
        <v>1</v>
      </c>
      <c r="D39" s="123"/>
      <c r="E39" s="124" t="s">
        <v>2</v>
      </c>
      <c r="F39" s="125"/>
    </row>
    <row r="40" spans="3:6" x14ac:dyDescent="0.2">
      <c r="C40" s="126" t="s">
        <v>3</v>
      </c>
      <c r="D40" s="18"/>
      <c r="E40" s="15" t="s">
        <v>4</v>
      </c>
      <c r="F40" s="127"/>
    </row>
    <row r="41" spans="3:6" x14ac:dyDescent="0.2">
      <c r="C41" s="128" t="s">
        <v>5</v>
      </c>
      <c r="D41" s="20">
        <v>1950000</v>
      </c>
      <c r="E41" s="15" t="s">
        <v>6</v>
      </c>
      <c r="F41" s="129">
        <v>3233333</v>
      </c>
    </row>
    <row r="42" spans="3:6" x14ac:dyDescent="0.2">
      <c r="C42" s="128"/>
      <c r="D42" s="19"/>
      <c r="E42" s="15"/>
      <c r="F42" s="127"/>
    </row>
    <row r="43" spans="3:6" x14ac:dyDescent="0.2">
      <c r="C43" s="128" t="s">
        <v>7</v>
      </c>
      <c r="D43" s="20">
        <v>-45000</v>
      </c>
      <c r="E43" s="15"/>
      <c r="F43" s="127"/>
    </row>
    <row r="44" spans="3:6" x14ac:dyDescent="0.2">
      <c r="C44" s="128" t="s">
        <v>8</v>
      </c>
      <c r="D44" s="20">
        <v>55600</v>
      </c>
      <c r="E44" s="15"/>
      <c r="F44" s="127"/>
    </row>
    <row r="45" spans="3:6" x14ac:dyDescent="0.2">
      <c r="C45" s="128" t="s">
        <v>9</v>
      </c>
      <c r="D45" s="20">
        <v>35600</v>
      </c>
      <c r="E45" s="15"/>
      <c r="F45" s="127"/>
    </row>
    <row r="46" spans="3:6" x14ac:dyDescent="0.2">
      <c r="C46" s="128" t="s">
        <v>10</v>
      </c>
      <c r="D46" s="20">
        <v>475000</v>
      </c>
      <c r="E46" s="15"/>
      <c r="F46" s="127"/>
    </row>
    <row r="47" spans="3:6" x14ac:dyDescent="0.2">
      <c r="C47" s="128"/>
      <c r="D47" s="19"/>
      <c r="E47" s="15"/>
      <c r="F47" s="127"/>
    </row>
    <row r="48" spans="3:6" x14ac:dyDescent="0.2">
      <c r="C48" s="128"/>
      <c r="D48" s="19"/>
      <c r="E48" s="15"/>
      <c r="F48" s="127"/>
    </row>
    <row r="49" spans="3:6" x14ac:dyDescent="0.2">
      <c r="C49" s="128" t="s">
        <v>11</v>
      </c>
      <c r="D49" s="20">
        <v>162720</v>
      </c>
      <c r="E49" s="15"/>
      <c r="F49" s="127"/>
    </row>
    <row r="50" spans="3:6" x14ac:dyDescent="0.2">
      <c r="C50" s="128" t="s">
        <v>12</v>
      </c>
      <c r="D50" s="20">
        <v>12000</v>
      </c>
      <c r="E50" s="15"/>
      <c r="F50" s="127"/>
    </row>
    <row r="51" spans="3:6" x14ac:dyDescent="0.2">
      <c r="C51" s="128"/>
      <c r="D51" s="19"/>
      <c r="E51" s="15"/>
      <c r="F51" s="127"/>
    </row>
    <row r="52" spans="3:6" x14ac:dyDescent="0.2">
      <c r="C52" s="128" t="s">
        <v>13</v>
      </c>
      <c r="D52" s="20">
        <v>15000</v>
      </c>
      <c r="E52" s="15"/>
      <c r="F52" s="127"/>
    </row>
    <row r="53" spans="3:6" x14ac:dyDescent="0.2">
      <c r="C53" s="128"/>
      <c r="D53" s="19"/>
      <c r="E53" s="15"/>
      <c r="F53" s="127"/>
    </row>
    <row r="54" spans="3:6" x14ac:dyDescent="0.2">
      <c r="C54" s="128"/>
      <c r="D54" s="19"/>
      <c r="E54" s="15"/>
      <c r="F54" s="127"/>
    </row>
    <row r="55" spans="3:6" x14ac:dyDescent="0.2">
      <c r="C55" s="128"/>
      <c r="D55" s="19"/>
      <c r="E55" s="15"/>
      <c r="F55" s="127"/>
    </row>
    <row r="56" spans="3:6" x14ac:dyDescent="0.2">
      <c r="C56" s="128" t="s">
        <v>14</v>
      </c>
      <c r="D56" s="19"/>
      <c r="E56" s="15" t="s">
        <v>15</v>
      </c>
      <c r="F56" s="127"/>
    </row>
    <row r="57" spans="3:6" x14ac:dyDescent="0.2">
      <c r="C57" s="128" t="s">
        <v>16</v>
      </c>
      <c r="D57" s="20">
        <v>58000</v>
      </c>
      <c r="E57" s="15" t="s">
        <v>17</v>
      </c>
      <c r="F57" s="129">
        <v>3500</v>
      </c>
    </row>
    <row r="58" spans="3:6" x14ac:dyDescent="0.2">
      <c r="C58" s="128"/>
      <c r="D58" s="19"/>
      <c r="E58" s="15"/>
      <c r="F58" s="127"/>
    </row>
    <row r="59" spans="3:6" x14ac:dyDescent="0.2">
      <c r="C59" s="128"/>
      <c r="D59" s="19"/>
      <c r="E59" s="15"/>
      <c r="F59" s="127"/>
    </row>
    <row r="60" spans="3:6" x14ac:dyDescent="0.2">
      <c r="C60" s="128" t="s">
        <v>18</v>
      </c>
      <c r="D60" s="20">
        <v>128603</v>
      </c>
      <c r="E60" s="15"/>
      <c r="F60" s="127"/>
    </row>
    <row r="61" spans="3:6" x14ac:dyDescent="0.2">
      <c r="C61" s="128"/>
      <c r="D61" s="19"/>
      <c r="E61" s="15"/>
      <c r="F61" s="127"/>
    </row>
    <row r="62" spans="3:6" x14ac:dyDescent="0.2">
      <c r="C62" s="128"/>
      <c r="D62" s="19"/>
      <c r="E62" s="16"/>
      <c r="F62" s="130"/>
    </row>
    <row r="63" spans="3:6" x14ac:dyDescent="0.2">
      <c r="C63" s="128"/>
      <c r="D63" s="19"/>
      <c r="E63" s="16"/>
      <c r="F63" s="130"/>
    </row>
    <row r="64" spans="3:6" x14ac:dyDescent="0.2">
      <c r="C64" s="128"/>
      <c r="D64" s="19"/>
      <c r="E64" s="16"/>
      <c r="F64" s="130"/>
    </row>
    <row r="65" spans="3:6" x14ac:dyDescent="0.2">
      <c r="C65" s="128"/>
      <c r="D65" s="19"/>
      <c r="E65" s="16"/>
      <c r="F65" s="130"/>
    </row>
    <row r="66" spans="3:6" ht="17" thickBot="1" x14ac:dyDescent="0.25">
      <c r="C66" s="131"/>
      <c r="D66" s="132">
        <f>D60+D57+D52+D50+D49+D46+D45+D44+D43+D41</f>
        <v>2847523</v>
      </c>
      <c r="E66" s="133"/>
      <c r="F66" s="134">
        <f>F41+F57</f>
        <v>3236833</v>
      </c>
    </row>
    <row r="67" spans="3:6" x14ac:dyDescent="0.2">
      <c r="E67" s="120" t="s">
        <v>57</v>
      </c>
      <c r="F67" s="121">
        <f>F66-D66</f>
        <v>389310</v>
      </c>
    </row>
  </sheetData>
  <mergeCells count="5">
    <mergeCell ref="C5:H5"/>
    <mergeCell ref="C6:E6"/>
    <mergeCell ref="F6:H6"/>
    <mergeCell ref="C39:D39"/>
    <mergeCell ref="E39:F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0D587-FD57-F549-80D4-8E1E5170A707}">
  <sheetPr codeName="Feuil2"/>
  <dimension ref="B1:N73"/>
  <sheetViews>
    <sheetView tabSelected="1" topLeftCell="A41" zoomScale="114" zoomScaleNormal="150" workbookViewId="0">
      <selection activeCell="C72" sqref="C72"/>
    </sheetView>
  </sheetViews>
  <sheetFormatPr baseColWidth="10" defaultRowHeight="16" x14ac:dyDescent="0.2"/>
  <cols>
    <col min="2" max="2" width="45.1640625" customWidth="1"/>
    <col min="3" max="3" width="21" customWidth="1"/>
    <col min="4" max="4" width="13" bestFit="1" customWidth="1"/>
    <col min="6" max="6" width="25.83203125" customWidth="1"/>
    <col min="7" max="7" width="17.83203125" customWidth="1"/>
    <col min="8" max="8" width="20.83203125" customWidth="1"/>
    <col min="9" max="9" width="20.6640625" customWidth="1"/>
    <col min="14" max="14" width="15" customWidth="1"/>
  </cols>
  <sheetData>
    <row r="1" spans="2:14" ht="17" thickBot="1" x14ac:dyDescent="0.25"/>
    <row r="2" spans="2:14" ht="52" thickBot="1" x14ac:dyDescent="0.25">
      <c r="F2" s="45" t="s">
        <v>75</v>
      </c>
      <c r="H2" s="45" t="s">
        <v>73</v>
      </c>
      <c r="I2" s="46" t="s">
        <v>74</v>
      </c>
      <c r="K2" s="48" t="s">
        <v>24</v>
      </c>
      <c r="L2" s="49" t="s">
        <v>76</v>
      </c>
      <c r="N2" s="42" t="s">
        <v>58</v>
      </c>
    </row>
    <row r="3" spans="2:14" ht="17" thickBot="1" x14ac:dyDescent="0.25">
      <c r="F3" s="27">
        <v>150000</v>
      </c>
      <c r="H3" s="44">
        <v>1250000</v>
      </c>
      <c r="I3" s="43">
        <v>1850000</v>
      </c>
      <c r="K3" s="50">
        <v>55000</v>
      </c>
      <c r="L3" s="51">
        <v>25000</v>
      </c>
      <c r="N3" s="84">
        <v>30000</v>
      </c>
    </row>
    <row r="5" spans="2:14" ht="17" thickBot="1" x14ac:dyDescent="0.25">
      <c r="B5" s="28" t="s">
        <v>65</v>
      </c>
    </row>
    <row r="6" spans="2:14" x14ac:dyDescent="0.2">
      <c r="B6" s="83" t="s">
        <v>59</v>
      </c>
      <c r="C6" s="23">
        <f>Enoncé!H8</f>
        <v>3388830</v>
      </c>
    </row>
    <row r="7" spans="2:14" x14ac:dyDescent="0.2">
      <c r="B7" s="82" t="s">
        <v>61</v>
      </c>
      <c r="C7" s="24">
        <f>Enoncé!D24+Enoncé!F16</f>
        <v>25000</v>
      </c>
    </row>
    <row r="8" spans="2:14" x14ac:dyDescent="0.2">
      <c r="B8" s="82" t="s">
        <v>62</v>
      </c>
      <c r="C8" s="24">
        <f>F3</f>
        <v>150000</v>
      </c>
    </row>
    <row r="9" spans="2:14" ht="17" thickBot="1" x14ac:dyDescent="0.25">
      <c r="B9" s="22" t="s">
        <v>64</v>
      </c>
      <c r="C9" s="25">
        <f>+C6-C7-C8</f>
        <v>3213830</v>
      </c>
    </row>
    <row r="10" spans="2:14" x14ac:dyDescent="0.2">
      <c r="B10" s="34"/>
      <c r="C10" s="35"/>
    </row>
    <row r="11" spans="2:14" ht="17" thickBot="1" x14ac:dyDescent="0.25">
      <c r="B11" s="28" t="s">
        <v>66</v>
      </c>
    </row>
    <row r="12" spans="2:14" x14ac:dyDescent="0.2">
      <c r="B12" s="66" t="s">
        <v>60</v>
      </c>
      <c r="C12" s="29">
        <f>Enoncé!F27</f>
        <v>5684270</v>
      </c>
    </row>
    <row r="13" spans="2:14" x14ac:dyDescent="0.2">
      <c r="B13" s="82" t="str">
        <f>B7</f>
        <v>Actif fictif</v>
      </c>
      <c r="C13" s="30">
        <f>C7</f>
        <v>25000</v>
      </c>
    </row>
    <row r="14" spans="2:14" x14ac:dyDescent="0.2">
      <c r="B14" s="82" t="s">
        <v>63</v>
      </c>
      <c r="C14" s="31">
        <f>Enoncé!H17+Enoncé!H14</f>
        <v>2295440</v>
      </c>
    </row>
    <row r="15" spans="2:14" x14ac:dyDescent="0.2">
      <c r="B15" s="82" t="str">
        <f>B8</f>
        <v>dividende prévu non encore versé à déduire</v>
      </c>
      <c r="C15" s="30">
        <f>F3</f>
        <v>150000</v>
      </c>
    </row>
    <row r="16" spans="2:14" ht="17" thickBot="1" x14ac:dyDescent="0.25">
      <c r="B16" s="32" t="s">
        <v>64</v>
      </c>
      <c r="C16" s="33">
        <f>C12-C13-C14-C15</f>
        <v>3213830</v>
      </c>
    </row>
    <row r="19" spans="2:5" ht="17" thickBot="1" x14ac:dyDescent="0.25">
      <c r="B19" s="36" t="s">
        <v>77</v>
      </c>
      <c r="C19" s="21"/>
      <c r="D19" s="21"/>
      <c r="E19" s="21"/>
    </row>
    <row r="20" spans="2:5" ht="32" x14ac:dyDescent="0.2">
      <c r="B20" s="70" t="s">
        <v>67</v>
      </c>
      <c r="C20" s="71" t="s">
        <v>68</v>
      </c>
      <c r="D20" s="71" t="s">
        <v>24</v>
      </c>
      <c r="E20" s="72" t="str">
        <f>+"+/- Values Brutes"</f>
        <v>+/- Values Brutes</v>
      </c>
    </row>
    <row r="21" spans="2:5" x14ac:dyDescent="0.2">
      <c r="B21" s="73" t="s">
        <v>69</v>
      </c>
      <c r="C21" s="37">
        <f>H3</f>
        <v>1250000</v>
      </c>
      <c r="D21" s="37">
        <f>Enoncé!F10</f>
        <v>850000</v>
      </c>
      <c r="E21" s="47">
        <f>C21-D21</f>
        <v>400000</v>
      </c>
    </row>
    <row r="22" spans="2:5" x14ac:dyDescent="0.2">
      <c r="B22" s="73" t="s">
        <v>33</v>
      </c>
      <c r="C22" s="37">
        <f>I3</f>
        <v>1850000</v>
      </c>
      <c r="D22" s="37">
        <f>Enoncé!F12</f>
        <v>1535500</v>
      </c>
      <c r="E22" s="47">
        <f>C22-D22</f>
        <v>314500</v>
      </c>
    </row>
    <row r="23" spans="2:5" x14ac:dyDescent="0.2">
      <c r="B23" s="73" t="s">
        <v>70</v>
      </c>
      <c r="C23" s="37">
        <f>L3</f>
        <v>25000</v>
      </c>
      <c r="D23" s="37">
        <f>K3</f>
        <v>55000</v>
      </c>
      <c r="E23" s="47">
        <f t="shared" ref="E23" si="0">C23-D23</f>
        <v>-30000</v>
      </c>
    </row>
    <row r="24" spans="2:5" x14ac:dyDescent="0.2">
      <c r="B24" s="73" t="s">
        <v>71</v>
      </c>
      <c r="C24" s="37">
        <f>+C33</f>
        <v>575000</v>
      </c>
      <c r="D24" s="37">
        <v>780000</v>
      </c>
      <c r="E24" s="47">
        <f>C24-D24</f>
        <v>-205000</v>
      </c>
    </row>
    <row r="25" spans="2:5" ht="17" thickBot="1" x14ac:dyDescent="0.25">
      <c r="B25" s="38"/>
      <c r="C25" s="39"/>
      <c r="D25" s="40" t="s">
        <v>72</v>
      </c>
      <c r="E25" s="41">
        <f>E21+E22+E23+E24</f>
        <v>479500</v>
      </c>
    </row>
    <row r="27" spans="2:5" ht="17" thickBot="1" x14ac:dyDescent="0.25">
      <c r="B27" s="58" t="s">
        <v>84</v>
      </c>
      <c r="C27" s="52"/>
    </row>
    <row r="28" spans="2:5" x14ac:dyDescent="0.2">
      <c r="B28" s="74" t="s">
        <v>78</v>
      </c>
      <c r="C28" s="54">
        <v>1150000</v>
      </c>
    </row>
    <row r="29" spans="2:5" x14ac:dyDescent="0.2">
      <c r="B29" s="75" t="s">
        <v>79</v>
      </c>
      <c r="C29" s="55">
        <v>10</v>
      </c>
    </row>
    <row r="30" spans="2:5" x14ac:dyDescent="0.2">
      <c r="B30" s="75" t="s">
        <v>80</v>
      </c>
      <c r="C30" s="55">
        <f>C28/C29</f>
        <v>115000</v>
      </c>
    </row>
    <row r="31" spans="2:5" x14ac:dyDescent="0.2">
      <c r="B31" s="75" t="s">
        <v>81</v>
      </c>
      <c r="C31" s="56">
        <v>0.5</v>
      </c>
    </row>
    <row r="32" spans="2:5" x14ac:dyDescent="0.2">
      <c r="B32" s="75" t="s">
        <v>82</v>
      </c>
      <c r="C32" s="55">
        <f>C30*C31</f>
        <v>57500</v>
      </c>
    </row>
    <row r="33" spans="2:6" ht="17" thickBot="1" x14ac:dyDescent="0.25">
      <c r="B33" s="76" t="s">
        <v>83</v>
      </c>
      <c r="C33" s="57">
        <v>575000</v>
      </c>
    </row>
    <row r="35" spans="2:6" ht="17" thickBot="1" x14ac:dyDescent="0.25">
      <c r="C35" s="26" t="s">
        <v>90</v>
      </c>
    </row>
    <row r="36" spans="2:6" x14ac:dyDescent="0.2">
      <c r="B36" s="77" t="s">
        <v>89</v>
      </c>
      <c r="C36" s="63">
        <v>0.25</v>
      </c>
    </row>
    <row r="37" spans="2:6" x14ac:dyDescent="0.2">
      <c r="B37" s="78" t="s">
        <v>91</v>
      </c>
      <c r="C37" s="60">
        <f>C7*C36</f>
        <v>6250</v>
      </c>
    </row>
    <row r="38" spans="2:6" ht="17" thickBot="1" x14ac:dyDescent="0.25">
      <c r="B38" s="79" t="s">
        <v>92</v>
      </c>
      <c r="C38" s="65">
        <f>E23*C36</f>
        <v>-7500</v>
      </c>
    </row>
    <row r="42" spans="2:6" ht="17" thickBot="1" x14ac:dyDescent="0.25"/>
    <row r="43" spans="2:6" x14ac:dyDescent="0.2">
      <c r="B43" s="67"/>
      <c r="C43" s="85" t="s">
        <v>86</v>
      </c>
    </row>
    <row r="44" spans="2:6" ht="17" thickBot="1" x14ac:dyDescent="0.25">
      <c r="B44" s="81" t="s">
        <v>85</v>
      </c>
      <c r="C44" s="69">
        <v>80000</v>
      </c>
    </row>
    <row r="46" spans="2:6" x14ac:dyDescent="0.2">
      <c r="B46" s="36" t="s">
        <v>115</v>
      </c>
      <c r="C46" s="21"/>
      <c r="D46" s="21"/>
      <c r="E46" s="21"/>
      <c r="F46" s="21"/>
    </row>
    <row r="47" spans="2:6" x14ac:dyDescent="0.2">
      <c r="B47" s="21"/>
      <c r="C47" s="21"/>
      <c r="D47" s="21"/>
      <c r="E47" s="21"/>
      <c r="F47" s="21"/>
    </row>
    <row r="48" spans="2:6" x14ac:dyDescent="0.2">
      <c r="B48" s="21"/>
      <c r="C48" s="21"/>
      <c r="D48" s="21"/>
      <c r="E48" s="21"/>
      <c r="F48" s="21"/>
    </row>
    <row r="49" spans="2:6" ht="17" thickBot="1" x14ac:dyDescent="0.25">
      <c r="B49" s="21"/>
      <c r="C49" s="21"/>
      <c r="D49" s="21"/>
      <c r="E49" s="21"/>
      <c r="F49" s="21"/>
    </row>
    <row r="50" spans="2:6" ht="17" thickBot="1" x14ac:dyDescent="0.25">
      <c r="B50" s="21"/>
      <c r="C50" s="144">
        <v>1</v>
      </c>
      <c r="D50" s="145">
        <v>2</v>
      </c>
      <c r="E50" s="146">
        <v>3</v>
      </c>
      <c r="F50" s="21"/>
    </row>
    <row r="51" spans="2:6" x14ac:dyDescent="0.2">
      <c r="B51" s="142" t="s">
        <v>114</v>
      </c>
      <c r="C51" s="147">
        <v>20000</v>
      </c>
      <c r="D51" s="148">
        <f>+C51</f>
        <v>20000</v>
      </c>
      <c r="E51" s="149">
        <v>20000</v>
      </c>
      <c r="F51" s="21"/>
    </row>
    <row r="52" spans="2:6" x14ac:dyDescent="0.2">
      <c r="B52" s="143" t="s">
        <v>116</v>
      </c>
      <c r="C52" s="138">
        <v>0.15</v>
      </c>
      <c r="D52" s="137">
        <v>0.15</v>
      </c>
      <c r="E52" s="139">
        <v>0.15</v>
      </c>
      <c r="F52" s="21"/>
    </row>
    <row r="53" spans="2:6" ht="17" thickBot="1" x14ac:dyDescent="0.25">
      <c r="B53" s="150" t="s">
        <v>117</v>
      </c>
      <c r="C53" s="140">
        <f>+D51*1.15^-1</f>
        <v>17391.304347826088</v>
      </c>
      <c r="D53" s="151">
        <f>+D51*1.15^-2</f>
        <v>15122.87334593573</v>
      </c>
      <c r="E53" s="141">
        <f>+E51*1.15^-3</f>
        <v>13150.324648639766</v>
      </c>
      <c r="F53" s="21"/>
    </row>
    <row r="54" spans="2:6" ht="17" thickBot="1" x14ac:dyDescent="0.25"/>
    <row r="55" spans="2:6" x14ac:dyDescent="0.2">
      <c r="B55" s="152" t="s">
        <v>118</v>
      </c>
      <c r="C55" s="153">
        <v>80000</v>
      </c>
    </row>
    <row r="56" spans="2:6" x14ac:dyDescent="0.2">
      <c r="B56" s="154" t="s">
        <v>119</v>
      </c>
      <c r="C56" s="157">
        <f>C53+D53+E53</f>
        <v>45664.502342401582</v>
      </c>
      <c r="F56" s="21"/>
    </row>
    <row r="57" spans="2:6" ht="17" thickBot="1" x14ac:dyDescent="0.25">
      <c r="B57" s="155" t="s">
        <v>85</v>
      </c>
      <c r="C57" s="156">
        <f>C55-C56</f>
        <v>34335.497657598418</v>
      </c>
      <c r="F57" s="21"/>
    </row>
    <row r="58" spans="2:6" x14ac:dyDescent="0.2">
      <c r="F58" s="21"/>
    </row>
    <row r="65" spans="2:3" ht="17" thickBot="1" x14ac:dyDescent="0.25"/>
    <row r="66" spans="2:3" x14ac:dyDescent="0.2">
      <c r="B66" s="67" t="s">
        <v>64</v>
      </c>
      <c r="C66" s="158">
        <f>C9</f>
        <v>3213830</v>
      </c>
    </row>
    <row r="67" spans="2:3" x14ac:dyDescent="0.2">
      <c r="B67" s="80" t="s">
        <v>88</v>
      </c>
      <c r="C67" s="159">
        <f>E25</f>
        <v>479500</v>
      </c>
    </row>
    <row r="68" spans="2:3" x14ac:dyDescent="0.2">
      <c r="B68" s="80" t="s">
        <v>95</v>
      </c>
      <c r="C68" s="159">
        <f>C37</f>
        <v>6250</v>
      </c>
    </row>
    <row r="69" spans="2:3" x14ac:dyDescent="0.2">
      <c r="B69" s="80" t="s">
        <v>93</v>
      </c>
      <c r="C69" s="159">
        <f>C38</f>
        <v>-7500</v>
      </c>
    </row>
    <row r="70" spans="2:3" x14ac:dyDescent="0.2">
      <c r="B70" s="80" t="s">
        <v>97</v>
      </c>
      <c r="C70" s="159">
        <f>-(N3-Enoncé!H14)</f>
        <v>-15000</v>
      </c>
    </row>
    <row r="71" spans="2:3" x14ac:dyDescent="0.2">
      <c r="B71" s="80" t="s">
        <v>94</v>
      </c>
      <c r="C71" s="159">
        <f>C57</f>
        <v>34335.497657598418</v>
      </c>
    </row>
    <row r="72" spans="2:3" x14ac:dyDescent="0.2">
      <c r="B72" s="80" t="s">
        <v>96</v>
      </c>
      <c r="C72" s="159">
        <f>SUM(C67:C71)</f>
        <v>497585.4976575984</v>
      </c>
    </row>
    <row r="73" spans="2:3" ht="17" thickBot="1" x14ac:dyDescent="0.25">
      <c r="B73" s="61" t="s">
        <v>87</v>
      </c>
      <c r="C73" s="62">
        <f>SUM(C66:C71)</f>
        <v>3711415.4976575985</v>
      </c>
    </row>
  </sheetData>
  <conditionalFormatting sqref="E21:E24">
    <cfRule type="cellIs" dxfId="1" priority="2" operator="lessThan">
      <formula>0</formula>
    </cfRule>
  </conditionalFormatting>
  <conditionalFormatting sqref="E21:E22">
    <cfRule type="cellIs" dxfId="0" priority="1" operator="greaterThan">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28EB-CC21-E24A-911C-BF0A064D55E7}">
  <dimension ref="B4:H46"/>
  <sheetViews>
    <sheetView zoomScale="106" workbookViewId="0">
      <selection activeCell="B8" sqref="B8"/>
    </sheetView>
  </sheetViews>
  <sheetFormatPr baseColWidth="10" defaultRowHeight="16" x14ac:dyDescent="0.2"/>
  <cols>
    <col min="2" max="2" width="46.83203125" customWidth="1"/>
    <col min="3" max="3" width="29" customWidth="1"/>
    <col min="8" max="8" width="20.83203125" customWidth="1"/>
    <col min="9" max="9" width="24.33203125" customWidth="1"/>
    <col min="10" max="10" width="32.33203125" customWidth="1"/>
  </cols>
  <sheetData>
    <row r="4" spans="2:8" ht="17" thickBot="1" x14ac:dyDescent="0.25">
      <c r="B4" s="28" t="s">
        <v>107</v>
      </c>
    </row>
    <row r="5" spans="2:8" x14ac:dyDescent="0.2">
      <c r="B5" s="53" t="s">
        <v>98</v>
      </c>
      <c r="C5" s="86" t="s">
        <v>99</v>
      </c>
      <c r="D5" s="86" t="s">
        <v>100</v>
      </c>
      <c r="E5" s="86" t="s">
        <v>101</v>
      </c>
      <c r="F5" s="68" t="s">
        <v>102</v>
      </c>
      <c r="G5" s="135"/>
      <c r="H5" s="135" t="s">
        <v>121</v>
      </c>
    </row>
    <row r="6" spans="2:8" x14ac:dyDescent="0.2">
      <c r="B6" s="59" t="s">
        <v>103</v>
      </c>
      <c r="C6" s="87">
        <v>5500000</v>
      </c>
      <c r="D6" s="87">
        <v>12000000</v>
      </c>
      <c r="E6" s="87">
        <v>15500000</v>
      </c>
      <c r="F6" s="91">
        <v>4875000</v>
      </c>
      <c r="H6" s="1">
        <f>Enoncé!F41</f>
        <v>3233333</v>
      </c>
    </row>
    <row r="7" spans="2:8" x14ac:dyDescent="0.2">
      <c r="B7" s="59" t="s">
        <v>104</v>
      </c>
      <c r="C7" s="9">
        <v>660000</v>
      </c>
      <c r="D7" s="87">
        <v>1550000</v>
      </c>
      <c r="E7" s="87">
        <v>1954250</v>
      </c>
      <c r="F7" s="91">
        <v>434000</v>
      </c>
      <c r="H7" s="1">
        <f>C19</f>
        <v>762133</v>
      </c>
    </row>
    <row r="8" spans="2:8" x14ac:dyDescent="0.2">
      <c r="B8" s="59" t="s">
        <v>108</v>
      </c>
      <c r="C8" s="90">
        <f>C7/C6</f>
        <v>0.12</v>
      </c>
      <c r="D8" s="90">
        <f>D7/D6</f>
        <v>0.12916666666666668</v>
      </c>
      <c r="E8" s="90">
        <f t="shared" ref="E8:F8" si="0">E7/E6</f>
        <v>0.12608064516129033</v>
      </c>
      <c r="F8" s="92">
        <f t="shared" si="0"/>
        <v>8.902564102564102E-2</v>
      </c>
      <c r="H8" s="136">
        <f>H7/H6</f>
        <v>0.2357112614135321</v>
      </c>
    </row>
    <row r="9" spans="2:8" ht="51" x14ac:dyDescent="0.2">
      <c r="B9" s="88" t="s">
        <v>105</v>
      </c>
      <c r="C9" s="87">
        <v>4818000</v>
      </c>
      <c r="D9" s="87">
        <v>12710000</v>
      </c>
      <c r="E9" s="87">
        <v>14656875</v>
      </c>
      <c r="F9" s="91">
        <v>2994600</v>
      </c>
    </row>
    <row r="10" spans="2:8" ht="17" thickBot="1" x14ac:dyDescent="0.25">
      <c r="B10" s="64" t="s">
        <v>106</v>
      </c>
      <c r="C10" s="89"/>
      <c r="D10" s="93">
        <v>0.1</v>
      </c>
      <c r="E10" s="161">
        <v>0.1</v>
      </c>
      <c r="F10" s="94"/>
    </row>
    <row r="13" spans="2:8" ht="17" thickBot="1" x14ac:dyDescent="0.25"/>
    <row r="14" spans="2:8" ht="17" thickBot="1" x14ac:dyDescent="0.25">
      <c r="B14" s="160" t="s">
        <v>109</v>
      </c>
      <c r="C14" s="95">
        <f>C9/C7</f>
        <v>7.3</v>
      </c>
      <c r="D14" s="95">
        <f>D9/D7*(1-D10)</f>
        <v>7.38</v>
      </c>
      <c r="E14" s="95">
        <f>E9/E7*(1-E10)</f>
        <v>6.75</v>
      </c>
      <c r="F14" s="96">
        <f t="shared" ref="F14" si="1">F9/F7</f>
        <v>6.9</v>
      </c>
    </row>
    <row r="15" spans="2:8" ht="17" thickBot="1" x14ac:dyDescent="0.25">
      <c r="B15" s="160" t="s">
        <v>110</v>
      </c>
      <c r="C15" s="101">
        <f>(C14+D14+E14+F14)/4</f>
        <v>7.0824999999999996</v>
      </c>
    </row>
    <row r="18" spans="2:3" ht="17" thickBot="1" x14ac:dyDescent="0.25"/>
    <row r="19" spans="2:3" x14ac:dyDescent="0.2">
      <c r="B19" s="67" t="s">
        <v>104</v>
      </c>
      <c r="C19" s="98">
        <f>(Enoncé!F41-(Enoncé!D41+Enoncé!D43))-(Enoncé!D44+Enoncé!D45+Enoncé!D46)</f>
        <v>762133</v>
      </c>
    </row>
    <row r="20" spans="2:3" x14ac:dyDescent="0.2">
      <c r="B20" s="80" t="s">
        <v>112</v>
      </c>
      <c r="C20" s="99">
        <f>C19*C15</f>
        <v>5397806.9724999992</v>
      </c>
    </row>
    <row r="21" spans="2:3" x14ac:dyDescent="0.2">
      <c r="B21" s="80" t="s">
        <v>120</v>
      </c>
      <c r="C21" s="99">
        <f>'Question 1'!N3</f>
        <v>30000</v>
      </c>
    </row>
    <row r="22" spans="2:3" x14ac:dyDescent="0.2">
      <c r="B22" s="80" t="s">
        <v>111</v>
      </c>
      <c r="C22" s="100">
        <f>(Enoncé!H18+Enoncé!H19)-(Enoncé!D25+Enoncé!D26)</f>
        <v>665000</v>
      </c>
    </row>
    <row r="23" spans="2:3" ht="17" thickBot="1" x14ac:dyDescent="0.25">
      <c r="B23" s="61" t="s">
        <v>113</v>
      </c>
      <c r="C23" s="97">
        <f>C19*C15-C22-C21</f>
        <v>4702806.9724999992</v>
      </c>
    </row>
    <row r="46" spans="4:4" x14ac:dyDescent="0.2"/>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Enoncé</vt:lpstr>
      <vt:lpstr>Question 1</vt:lpstr>
      <vt:lpstr>Question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Ganvo</dc:creator>
  <cp:lastModifiedBy>Alex Ganvo</cp:lastModifiedBy>
  <dcterms:created xsi:type="dcterms:W3CDTF">2026-01-14T22:14:51Z</dcterms:created>
  <dcterms:modified xsi:type="dcterms:W3CDTF">2026-01-15T09:17:26Z</dcterms:modified>
</cp:coreProperties>
</file>